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Coding_Project_PhD_UNM\Experiment_4\Excel R2 (Revision_2)\"/>
    </mc:Choice>
  </mc:AlternateContent>
  <xr:revisionPtr revIDLastSave="0" documentId="8_{F03F47B2-B82E-48A5-A94B-D6DD609A11AB}" xr6:coauthVersionLast="47" xr6:coauthVersionMax="47" xr10:uidLastSave="{00000000-0000-0000-0000-000000000000}"/>
  <bookViews>
    <workbookView xWindow="-110" yWindow="-110" windowWidth="25820" windowHeight="15500" xr2:uid="{BE0E4B34-DA2C-42D6-A328-EB13EF77111F}"/>
  </bookViews>
  <sheets>
    <sheet name="Section_3.1" sheetId="1" r:id="rId1"/>
    <sheet name="Section_3.2" sheetId="2" r:id="rId2"/>
    <sheet name="Section_3.3" sheetId="3" r:id="rId3"/>
    <sheet name="Section_3.4" sheetId="4" r:id="rId4"/>
    <sheet name="Section_3.5-Detect-Sizes" sheetId="11" r:id="rId5"/>
    <sheet name="Section_3.5-Seg-Sizes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C73" i="7" l="1"/>
  <c r="BB73" i="7"/>
  <c r="AL73" i="7"/>
  <c r="AK73" i="7"/>
  <c r="U73" i="7"/>
  <c r="T73" i="7"/>
  <c r="AK70" i="7"/>
  <c r="D73" i="7"/>
  <c r="C73" i="7"/>
  <c r="BX54" i="2"/>
  <c r="BW54" i="2"/>
  <c r="BT54" i="2"/>
  <c r="BS54" i="2"/>
  <c r="BX53" i="2"/>
  <c r="BW53" i="2"/>
  <c r="BT53" i="2"/>
  <c r="BS53" i="2"/>
  <c r="BX52" i="2"/>
  <c r="BW52" i="2"/>
  <c r="BT52" i="2"/>
  <c r="BS52" i="2"/>
  <c r="BX51" i="2"/>
  <c r="BW51" i="2"/>
  <c r="BT51" i="2"/>
  <c r="BS51" i="2"/>
  <c r="BX45" i="2"/>
  <c r="BX44" i="2"/>
  <c r="BW44" i="2"/>
  <c r="BX43" i="2"/>
  <c r="BW43" i="2"/>
  <c r="BX42" i="2"/>
  <c r="BW42" i="2"/>
  <c r="BX41" i="2"/>
  <c r="BW41" i="2"/>
  <c r="BG54" i="2"/>
  <c r="BF54" i="2"/>
  <c r="BC54" i="2"/>
  <c r="BB54" i="2"/>
  <c r="BG53" i="2"/>
  <c r="BF53" i="2"/>
  <c r="BC53" i="2"/>
  <c r="BB53" i="2"/>
  <c r="BG52" i="2"/>
  <c r="BF52" i="2"/>
  <c r="BC52" i="2"/>
  <c r="BB52" i="2"/>
  <c r="BG51" i="2"/>
  <c r="BF51" i="2"/>
  <c r="BC51" i="2"/>
  <c r="BB51" i="2"/>
  <c r="BG44" i="2"/>
  <c r="BF44" i="2"/>
  <c r="BG43" i="2"/>
  <c r="BF43" i="2"/>
  <c r="BG42" i="2"/>
  <c r="BF42" i="2"/>
  <c r="BG41" i="2"/>
  <c r="BF41" i="2"/>
  <c r="AP54" i="2"/>
  <c r="AO54" i="2"/>
  <c r="AL54" i="2"/>
  <c r="AK54" i="2"/>
  <c r="AP53" i="2"/>
  <c r="AO53" i="2"/>
  <c r="AL53" i="2"/>
  <c r="AK53" i="2"/>
  <c r="AP52" i="2"/>
  <c r="AO52" i="2"/>
  <c r="AL52" i="2"/>
  <c r="AK52" i="2"/>
  <c r="AP51" i="2"/>
  <c r="AO51" i="2"/>
  <c r="AL51" i="2"/>
  <c r="AK51" i="2"/>
  <c r="AP44" i="2"/>
  <c r="AO44" i="2"/>
  <c r="AP43" i="2"/>
  <c r="AO43" i="2"/>
  <c r="AP42" i="2"/>
  <c r="AO42" i="2"/>
  <c r="AP41" i="2"/>
  <c r="AO41" i="2"/>
  <c r="Y54" i="2"/>
  <c r="X54" i="2"/>
  <c r="U54" i="2"/>
  <c r="T54" i="2"/>
  <c r="Y53" i="2"/>
  <c r="X53" i="2"/>
  <c r="U53" i="2"/>
  <c r="T53" i="2"/>
  <c r="Y52" i="2"/>
  <c r="X52" i="2"/>
  <c r="U52" i="2"/>
  <c r="T52" i="2"/>
  <c r="Y51" i="2"/>
  <c r="X51" i="2"/>
  <c r="U51" i="2"/>
  <c r="T51" i="2"/>
  <c r="Y44" i="2"/>
  <c r="X44" i="2"/>
  <c r="Y43" i="2"/>
  <c r="X43" i="2"/>
  <c r="Y42" i="2"/>
  <c r="X42" i="2"/>
  <c r="Y41" i="2"/>
  <c r="X41" i="2"/>
  <c r="H41" i="2"/>
  <c r="G41" i="2"/>
  <c r="H54" i="2"/>
  <c r="G54" i="2"/>
  <c r="H53" i="2"/>
  <c r="G53" i="2"/>
  <c r="H52" i="2"/>
  <c r="G52" i="2"/>
  <c r="H51" i="2"/>
  <c r="G51" i="2"/>
  <c r="H44" i="2"/>
  <c r="G44" i="2"/>
  <c r="H43" i="2"/>
  <c r="G43" i="2"/>
  <c r="H42" i="2"/>
  <c r="G42" i="2"/>
  <c r="D54" i="2"/>
  <c r="C54" i="2"/>
  <c r="D53" i="2"/>
  <c r="C53" i="2"/>
  <c r="D52" i="2"/>
  <c r="C52" i="2"/>
  <c r="D51" i="2"/>
  <c r="C51" i="2"/>
  <c r="I32" i="1"/>
  <c r="D41" i="1"/>
  <c r="C41" i="1"/>
  <c r="D40" i="1"/>
  <c r="C40" i="1"/>
  <c r="L39" i="1"/>
  <c r="L40" i="1" s="1"/>
  <c r="D39" i="1"/>
  <c r="C39" i="1"/>
  <c r="D38" i="1"/>
  <c r="C38" i="1"/>
  <c r="N32" i="1"/>
  <c r="I31" i="1"/>
  <c r="I30" i="1"/>
  <c r="I29" i="1"/>
  <c r="N23" i="1"/>
  <c r="I23" i="1"/>
  <c r="I22" i="1"/>
  <c r="I21" i="1"/>
  <c r="I20" i="1"/>
  <c r="N14" i="1"/>
  <c r="I14" i="1"/>
  <c r="I13" i="1"/>
  <c r="I12" i="1"/>
  <c r="I11" i="1"/>
  <c r="U42" i="1"/>
  <c r="T42" i="1"/>
  <c r="U41" i="1"/>
  <c r="T41" i="1"/>
  <c r="U40" i="1"/>
  <c r="T40" i="1"/>
  <c r="AC39" i="1"/>
  <c r="AC40" i="1" s="1"/>
  <c r="U39" i="1"/>
  <c r="T39" i="1"/>
  <c r="U38" i="1"/>
  <c r="T38" i="1"/>
  <c r="AE32" i="1"/>
  <c r="Z32" i="1"/>
  <c r="Z31" i="1"/>
  <c r="Z30" i="1"/>
  <c r="Z29" i="1"/>
  <c r="AE23" i="1"/>
  <c r="Z23" i="1"/>
  <c r="Z22" i="1"/>
  <c r="Z21" i="1"/>
  <c r="Z20" i="1"/>
  <c r="AE14" i="1"/>
  <c r="Z14" i="1"/>
  <c r="Z13" i="1"/>
  <c r="Z12" i="1"/>
  <c r="Z11" i="1"/>
  <c r="AM41" i="1"/>
  <c r="AL41" i="1"/>
  <c r="AM40" i="1"/>
  <c r="AL40" i="1"/>
  <c r="AU39" i="1"/>
  <c r="AU40" i="1" s="1"/>
  <c r="AM39" i="1"/>
  <c r="AL39" i="1"/>
  <c r="AM38" i="1"/>
  <c r="AL38" i="1"/>
  <c r="AW32" i="1"/>
  <c r="AR32" i="1"/>
  <c r="AR31" i="1"/>
  <c r="AR30" i="1"/>
  <c r="AR29" i="1"/>
  <c r="AL42" i="1" s="1"/>
  <c r="AW23" i="1"/>
  <c r="AR23" i="1"/>
  <c r="AR22" i="1"/>
  <c r="AR21" i="1"/>
  <c r="AR20" i="1"/>
  <c r="AW14" i="1"/>
  <c r="AR14" i="1"/>
  <c r="AR13" i="1"/>
  <c r="AR12" i="1"/>
  <c r="AR11" i="1"/>
  <c r="BE41" i="1"/>
  <c r="BD41" i="1"/>
  <c r="BE40" i="1"/>
  <c r="BD40" i="1"/>
  <c r="BM39" i="1"/>
  <c r="BM40" i="1" s="1"/>
  <c r="BE39" i="1"/>
  <c r="BD39" i="1"/>
  <c r="BE38" i="1"/>
  <c r="BD38" i="1"/>
  <c r="BO32" i="1"/>
  <c r="BJ32" i="1"/>
  <c r="BJ31" i="1"/>
  <c r="BJ30" i="1"/>
  <c r="BJ29" i="1"/>
  <c r="BO23" i="1"/>
  <c r="BJ23" i="1"/>
  <c r="BJ22" i="1"/>
  <c r="BJ21" i="1"/>
  <c r="BJ20" i="1"/>
  <c r="BE42" i="1" s="1"/>
  <c r="BO14" i="1"/>
  <c r="BJ14" i="1"/>
  <c r="BJ13" i="1"/>
  <c r="BJ12" i="1"/>
  <c r="BJ11" i="1"/>
  <c r="L42" i="2"/>
  <c r="L43" i="2" s="1"/>
  <c r="AC42" i="2"/>
  <c r="AC43" i="2" s="1"/>
  <c r="AT42" i="2"/>
  <c r="AT43" i="2" s="1"/>
  <c r="D44" i="2"/>
  <c r="C44" i="2"/>
  <c r="D43" i="2"/>
  <c r="C43" i="2"/>
  <c r="D42" i="2"/>
  <c r="C42" i="2"/>
  <c r="D41" i="2"/>
  <c r="C41" i="2"/>
  <c r="U44" i="2"/>
  <c r="T44" i="2"/>
  <c r="U43" i="2"/>
  <c r="T43" i="2"/>
  <c r="U42" i="2"/>
  <c r="T42" i="2"/>
  <c r="U41" i="2"/>
  <c r="T41" i="2"/>
  <c r="AL44" i="2"/>
  <c r="AK44" i="2"/>
  <c r="AL43" i="2"/>
  <c r="AK43" i="2"/>
  <c r="AL42" i="2"/>
  <c r="AK42" i="2"/>
  <c r="AL41" i="2"/>
  <c r="AK41" i="2"/>
  <c r="BK42" i="2"/>
  <c r="BK43" i="2" s="1"/>
  <c r="BC44" i="2"/>
  <c r="BB44" i="2"/>
  <c r="BC43" i="2"/>
  <c r="BB43" i="2"/>
  <c r="BC42" i="2"/>
  <c r="BB42" i="2"/>
  <c r="BC41" i="2"/>
  <c r="BB41" i="2"/>
  <c r="BT44" i="2"/>
  <c r="BS44" i="2"/>
  <c r="BT43" i="2"/>
  <c r="BS43" i="2"/>
  <c r="CB42" i="2"/>
  <c r="CB43" i="2" s="1"/>
  <c r="BT42" i="2"/>
  <c r="BS42" i="2"/>
  <c r="BT41" i="2"/>
  <c r="BS41" i="2"/>
  <c r="CD35" i="2"/>
  <c r="BY35" i="2"/>
  <c r="BY34" i="2"/>
  <c r="BY33" i="2"/>
  <c r="BY32" i="2"/>
  <c r="CD26" i="2"/>
  <c r="BY26" i="2"/>
  <c r="BY25" i="2"/>
  <c r="BY24" i="2"/>
  <c r="BY23" i="2"/>
  <c r="CD17" i="2"/>
  <c r="CB41" i="2" s="1"/>
  <c r="BY17" i="2"/>
  <c r="BX55" i="2" s="1"/>
  <c r="BY16" i="2"/>
  <c r="BW45" i="2" s="1"/>
  <c r="BY15" i="2"/>
  <c r="BT55" i="2" s="1"/>
  <c r="BY14" i="2"/>
  <c r="BC43" i="3"/>
  <c r="BB43" i="3"/>
  <c r="BC42" i="3"/>
  <c r="BB42" i="3"/>
  <c r="BK41" i="3"/>
  <c r="BK42" i="3" s="1"/>
  <c r="BC41" i="3"/>
  <c r="BB41" i="3"/>
  <c r="BC40" i="3"/>
  <c r="BB40" i="3"/>
  <c r="BM34" i="3"/>
  <c r="BH34" i="3"/>
  <c r="BH33" i="3"/>
  <c r="BH32" i="3"/>
  <c r="BH31" i="3"/>
  <c r="BM25" i="3"/>
  <c r="BH25" i="3"/>
  <c r="BH24" i="3"/>
  <c r="BH23" i="3"/>
  <c r="BH22" i="3"/>
  <c r="BM16" i="3"/>
  <c r="BH16" i="3"/>
  <c r="BH15" i="3"/>
  <c r="BH14" i="3"/>
  <c r="BH13" i="3"/>
  <c r="BB44" i="3" s="1"/>
  <c r="AL43" i="3"/>
  <c r="AK43" i="3"/>
  <c r="AL42" i="3"/>
  <c r="AK42" i="3"/>
  <c r="AT41" i="3"/>
  <c r="AT42" i="3" s="1"/>
  <c r="AL41" i="3"/>
  <c r="AK41" i="3"/>
  <c r="AL40" i="3"/>
  <c r="AK40" i="3"/>
  <c r="AV34" i="3"/>
  <c r="AQ34" i="3"/>
  <c r="AQ33" i="3"/>
  <c r="AQ32" i="3"/>
  <c r="AQ31" i="3"/>
  <c r="AV25" i="3"/>
  <c r="AQ25" i="3"/>
  <c r="AQ24" i="3"/>
  <c r="AQ23" i="3"/>
  <c r="AQ22" i="3"/>
  <c r="AV16" i="3"/>
  <c r="AQ16" i="3"/>
  <c r="AQ15" i="3"/>
  <c r="AQ14" i="3"/>
  <c r="AQ13" i="3"/>
  <c r="AL44" i="3" s="1"/>
  <c r="U43" i="3"/>
  <c r="T43" i="3"/>
  <c r="U42" i="3"/>
  <c r="T42" i="3"/>
  <c r="AC41" i="3"/>
  <c r="AC42" i="3" s="1"/>
  <c r="U41" i="3"/>
  <c r="T41" i="3"/>
  <c r="U40" i="3"/>
  <c r="T40" i="3"/>
  <c r="AE34" i="3"/>
  <c r="Z34" i="3"/>
  <c r="Z33" i="3"/>
  <c r="Z32" i="3"/>
  <c r="Z31" i="3"/>
  <c r="AE25" i="3"/>
  <c r="Z25" i="3"/>
  <c r="Z24" i="3"/>
  <c r="Z23" i="3"/>
  <c r="Z22" i="3"/>
  <c r="AE16" i="3"/>
  <c r="Z16" i="3"/>
  <c r="Z15" i="3"/>
  <c r="Z14" i="3"/>
  <c r="Z13" i="3"/>
  <c r="D43" i="3"/>
  <c r="C43" i="3"/>
  <c r="D42" i="3"/>
  <c r="C42" i="3"/>
  <c r="L41" i="3"/>
  <c r="L42" i="3" s="1"/>
  <c r="D41" i="3"/>
  <c r="C41" i="3"/>
  <c r="D40" i="3"/>
  <c r="C40" i="3"/>
  <c r="N34" i="3"/>
  <c r="I34" i="3"/>
  <c r="I33" i="3"/>
  <c r="I32" i="3"/>
  <c r="I31" i="3"/>
  <c r="N25" i="3"/>
  <c r="I25" i="3"/>
  <c r="I24" i="3"/>
  <c r="I23" i="3"/>
  <c r="I22" i="3"/>
  <c r="N16" i="3"/>
  <c r="L40" i="3" s="1"/>
  <c r="I16" i="3"/>
  <c r="I15" i="3"/>
  <c r="I14" i="3"/>
  <c r="I13" i="3"/>
  <c r="D44" i="3" s="1"/>
  <c r="D44" i="4"/>
  <c r="C44" i="4"/>
  <c r="D43" i="4"/>
  <c r="C43" i="4"/>
  <c r="D42" i="4"/>
  <c r="C42" i="4"/>
  <c r="D41" i="4"/>
  <c r="C41" i="4"/>
  <c r="D40" i="4"/>
  <c r="C40" i="4"/>
  <c r="L41" i="4"/>
  <c r="L42" i="4" s="1"/>
  <c r="N34" i="4"/>
  <c r="I34" i="4"/>
  <c r="I33" i="4"/>
  <c r="I32" i="4"/>
  <c r="I31" i="4"/>
  <c r="N25" i="4"/>
  <c r="I25" i="4"/>
  <c r="I24" i="4"/>
  <c r="I23" i="4"/>
  <c r="I22" i="4"/>
  <c r="N16" i="4"/>
  <c r="L40" i="4" s="1"/>
  <c r="I16" i="4"/>
  <c r="I15" i="4"/>
  <c r="I14" i="4"/>
  <c r="I13" i="4"/>
  <c r="V73" i="4"/>
  <c r="U73" i="4"/>
  <c r="Z73" i="4"/>
  <c r="Y73" i="4"/>
  <c r="Z72" i="4"/>
  <c r="Y72" i="4"/>
  <c r="V72" i="4"/>
  <c r="U72" i="4"/>
  <c r="AD71" i="4"/>
  <c r="AD72" i="4" s="1"/>
  <c r="Z71" i="4"/>
  <c r="Y71" i="4"/>
  <c r="V71" i="4"/>
  <c r="U71" i="4"/>
  <c r="Z70" i="4"/>
  <c r="Y70" i="4"/>
  <c r="V70" i="4"/>
  <c r="U70" i="4"/>
  <c r="BK71" i="7"/>
  <c r="BK72" i="7" s="1"/>
  <c r="AT71" i="7"/>
  <c r="AT72" i="7" s="1"/>
  <c r="AC71" i="7"/>
  <c r="AC72" i="7" s="1"/>
  <c r="L71" i="7"/>
  <c r="L72" i="7" s="1"/>
  <c r="BK43" i="11"/>
  <c r="BK44" i="11" s="1"/>
  <c r="AT43" i="11"/>
  <c r="AT44" i="11" s="1"/>
  <c r="AC43" i="11"/>
  <c r="AC44" i="11" s="1"/>
  <c r="BC45" i="11"/>
  <c r="BB45" i="11"/>
  <c r="BC44" i="11"/>
  <c r="BB44" i="11"/>
  <c r="BC43" i="11"/>
  <c r="BB43" i="11"/>
  <c r="BC42" i="11"/>
  <c r="BB42" i="11"/>
  <c r="AL45" i="11"/>
  <c r="AK45" i="11"/>
  <c r="AL44" i="11"/>
  <c r="AK44" i="11"/>
  <c r="AL43" i="11"/>
  <c r="AK43" i="11"/>
  <c r="AL42" i="11"/>
  <c r="AK42" i="11"/>
  <c r="U45" i="11"/>
  <c r="T45" i="11"/>
  <c r="U44" i="11"/>
  <c r="T44" i="11"/>
  <c r="U43" i="11"/>
  <c r="T43" i="11"/>
  <c r="U42" i="11"/>
  <c r="T42" i="11"/>
  <c r="L43" i="11"/>
  <c r="L44" i="11" s="1"/>
  <c r="D45" i="11"/>
  <c r="C45" i="11"/>
  <c r="D44" i="11"/>
  <c r="C44" i="11"/>
  <c r="D43" i="11"/>
  <c r="C43" i="11"/>
  <c r="D42" i="11"/>
  <c r="C42" i="11"/>
  <c r="BM36" i="11"/>
  <c r="BH36" i="11"/>
  <c r="AV36" i="11"/>
  <c r="AQ36" i="11"/>
  <c r="AE36" i="11"/>
  <c r="Z36" i="11"/>
  <c r="N36" i="11"/>
  <c r="I36" i="11"/>
  <c r="BH35" i="11"/>
  <c r="AQ35" i="11"/>
  <c r="Z35" i="11"/>
  <c r="I35" i="11"/>
  <c r="BH34" i="11"/>
  <c r="AQ34" i="11"/>
  <c r="Z34" i="11"/>
  <c r="I34" i="11"/>
  <c r="BH33" i="11"/>
  <c r="AQ33" i="11"/>
  <c r="Z33" i="11"/>
  <c r="I33" i="11"/>
  <c r="BM26" i="11"/>
  <c r="BH26" i="11"/>
  <c r="AV26" i="11"/>
  <c r="AQ26" i="11"/>
  <c r="AE26" i="11"/>
  <c r="Z26" i="11"/>
  <c r="N26" i="11"/>
  <c r="I26" i="11"/>
  <c r="BH25" i="11"/>
  <c r="AQ25" i="11"/>
  <c r="Z25" i="11"/>
  <c r="I25" i="11"/>
  <c r="BH24" i="11"/>
  <c r="AQ24" i="11"/>
  <c r="Z24" i="11"/>
  <c r="I24" i="11"/>
  <c r="BH23" i="11"/>
  <c r="AQ23" i="11"/>
  <c r="AL46" i="11" s="1"/>
  <c r="Z23" i="11"/>
  <c r="I23" i="11"/>
  <c r="BM16" i="11"/>
  <c r="BH16" i="11"/>
  <c r="AV16" i="11"/>
  <c r="AQ16" i="11"/>
  <c r="AE16" i="11"/>
  <c r="Z16" i="11"/>
  <c r="N16" i="11"/>
  <c r="I16" i="11"/>
  <c r="BH15" i="11"/>
  <c r="AQ15" i="11"/>
  <c r="Z15" i="11"/>
  <c r="I15" i="11"/>
  <c r="BH14" i="11"/>
  <c r="AQ14" i="11"/>
  <c r="Z14" i="11"/>
  <c r="I14" i="11"/>
  <c r="BH13" i="11"/>
  <c r="AQ13" i="11"/>
  <c r="Z13" i="11"/>
  <c r="I13" i="11"/>
  <c r="BB74" i="7"/>
  <c r="BG73" i="7"/>
  <c r="BF73" i="7"/>
  <c r="BG72" i="7"/>
  <c r="BF72" i="7"/>
  <c r="BC72" i="7"/>
  <c r="BB72" i="7"/>
  <c r="BG71" i="7"/>
  <c r="BF71" i="7"/>
  <c r="BC71" i="7"/>
  <c r="BB71" i="7"/>
  <c r="BG70" i="7"/>
  <c r="BF70" i="7"/>
  <c r="BC70" i="7"/>
  <c r="BB70" i="7"/>
  <c r="AP73" i="7"/>
  <c r="AO73" i="7"/>
  <c r="AP72" i="7"/>
  <c r="AO72" i="7"/>
  <c r="AL72" i="7"/>
  <c r="AK72" i="7"/>
  <c r="AP71" i="7"/>
  <c r="AO71" i="7"/>
  <c r="AL71" i="7"/>
  <c r="AK71" i="7"/>
  <c r="AP70" i="7"/>
  <c r="AO70" i="7"/>
  <c r="AL70" i="7"/>
  <c r="Y73" i="7"/>
  <c r="X73" i="7"/>
  <c r="Y72" i="7"/>
  <c r="X72" i="7"/>
  <c r="Y71" i="7"/>
  <c r="X71" i="7"/>
  <c r="Y70" i="7"/>
  <c r="X70" i="7"/>
  <c r="U72" i="7"/>
  <c r="T72" i="7"/>
  <c r="U71" i="7"/>
  <c r="T71" i="7"/>
  <c r="U70" i="7"/>
  <c r="T70" i="7"/>
  <c r="H73" i="7"/>
  <c r="G73" i="7"/>
  <c r="H72" i="7"/>
  <c r="G72" i="7"/>
  <c r="H71" i="7"/>
  <c r="G71" i="7"/>
  <c r="H70" i="7"/>
  <c r="G70" i="7"/>
  <c r="D72" i="7"/>
  <c r="C72" i="7"/>
  <c r="D71" i="7"/>
  <c r="C71" i="7"/>
  <c r="D70" i="7"/>
  <c r="C70" i="7"/>
  <c r="BH63" i="7"/>
  <c r="BH62" i="7"/>
  <c r="BH61" i="7"/>
  <c r="BH60" i="7"/>
  <c r="BF74" i="7" s="1"/>
  <c r="BM54" i="7"/>
  <c r="BH54" i="7"/>
  <c r="BH53" i="7"/>
  <c r="BH52" i="7"/>
  <c r="BH51" i="7"/>
  <c r="BH44" i="7"/>
  <c r="BH43" i="7"/>
  <c r="BH42" i="7"/>
  <c r="BH41" i="7"/>
  <c r="BM35" i="7"/>
  <c r="BH35" i="7"/>
  <c r="BH34" i="7"/>
  <c r="BH33" i="7"/>
  <c r="BH32" i="7"/>
  <c r="BH25" i="7"/>
  <c r="BH24" i="7"/>
  <c r="BH23" i="7"/>
  <c r="BH22" i="7"/>
  <c r="BM16" i="7"/>
  <c r="BH16" i="7"/>
  <c r="BH15" i="7"/>
  <c r="BH14" i="7"/>
  <c r="BH13" i="7"/>
  <c r="BC74" i="7" s="1"/>
  <c r="AQ63" i="7"/>
  <c r="AQ62" i="7"/>
  <c r="AQ61" i="7"/>
  <c r="AQ60" i="7"/>
  <c r="AV54" i="7"/>
  <c r="AQ54" i="7"/>
  <c r="AQ53" i="7"/>
  <c r="AQ52" i="7"/>
  <c r="AQ51" i="7"/>
  <c r="AQ44" i="7"/>
  <c r="AQ43" i="7"/>
  <c r="AQ42" i="7"/>
  <c r="AQ41" i="7"/>
  <c r="AV35" i="7"/>
  <c r="AQ35" i="7"/>
  <c r="AQ34" i="7"/>
  <c r="AQ33" i="7"/>
  <c r="AQ32" i="7"/>
  <c r="AQ25" i="7"/>
  <c r="AQ24" i="7"/>
  <c r="AQ23" i="7"/>
  <c r="AQ22" i="7"/>
  <c r="AV16" i="7"/>
  <c r="AQ16" i="7"/>
  <c r="AQ15" i="7"/>
  <c r="AQ14" i="7"/>
  <c r="AQ13" i="7"/>
  <c r="Z63" i="7"/>
  <c r="Z62" i="7"/>
  <c r="Z61" i="7"/>
  <c r="Z60" i="7"/>
  <c r="Y74" i="7" s="1"/>
  <c r="AE54" i="7"/>
  <c r="AC70" i="7" s="1"/>
  <c r="Z54" i="7"/>
  <c r="Z53" i="7"/>
  <c r="Z52" i="7"/>
  <c r="Z51" i="7"/>
  <c r="Z44" i="7"/>
  <c r="Z43" i="7"/>
  <c r="Z42" i="7"/>
  <c r="Z41" i="7"/>
  <c r="AE35" i="7"/>
  <c r="Z35" i="7"/>
  <c r="Z34" i="7"/>
  <c r="Z33" i="7"/>
  <c r="Z32" i="7"/>
  <c r="Z25" i="7"/>
  <c r="Z24" i="7"/>
  <c r="Z23" i="7"/>
  <c r="Z22" i="7"/>
  <c r="AE16" i="7"/>
  <c r="Z16" i="7"/>
  <c r="Z15" i="7"/>
  <c r="Z14" i="7"/>
  <c r="Z13" i="7"/>
  <c r="I63" i="7"/>
  <c r="I62" i="7"/>
  <c r="I61" i="7"/>
  <c r="I60" i="7"/>
  <c r="N54" i="7"/>
  <c r="I54" i="7"/>
  <c r="I53" i="7"/>
  <c r="I52" i="7"/>
  <c r="I51" i="7"/>
  <c r="I44" i="7"/>
  <c r="I43" i="7"/>
  <c r="I42" i="7"/>
  <c r="I41" i="7"/>
  <c r="N35" i="7"/>
  <c r="I35" i="7"/>
  <c r="I34" i="7"/>
  <c r="I33" i="7"/>
  <c r="I32" i="7"/>
  <c r="C74" i="7" s="1"/>
  <c r="I25" i="7"/>
  <c r="I24" i="7"/>
  <c r="I23" i="7"/>
  <c r="I22" i="7"/>
  <c r="N16" i="7"/>
  <c r="L70" i="7" s="1"/>
  <c r="I16" i="7"/>
  <c r="I15" i="7"/>
  <c r="I14" i="7"/>
  <c r="I13" i="7"/>
  <c r="AA63" i="4"/>
  <c r="AA62" i="4"/>
  <c r="AA61" i="4"/>
  <c r="AA60" i="4"/>
  <c r="AF54" i="4"/>
  <c r="AA54" i="4"/>
  <c r="AA53" i="4"/>
  <c r="AA52" i="4"/>
  <c r="AA51" i="4"/>
  <c r="U74" i="4" s="1"/>
  <c r="AA44" i="4"/>
  <c r="AA43" i="4"/>
  <c r="AA42" i="4"/>
  <c r="AA41" i="4"/>
  <c r="AF35" i="4"/>
  <c r="AA35" i="4"/>
  <c r="AA34" i="4"/>
  <c r="AA33" i="4"/>
  <c r="AA32" i="4"/>
  <c r="AA25" i="4"/>
  <c r="AA24" i="4"/>
  <c r="AA23" i="4"/>
  <c r="AA22" i="4"/>
  <c r="AF16" i="4"/>
  <c r="AA16" i="4"/>
  <c r="AA15" i="4"/>
  <c r="AA14" i="4"/>
  <c r="AA13" i="4"/>
  <c r="I14" i="2"/>
  <c r="I15" i="2"/>
  <c r="D55" i="2" s="1"/>
  <c r="I16" i="2"/>
  <c r="H45" i="2" s="1"/>
  <c r="I17" i="2"/>
  <c r="H55" i="2" s="1"/>
  <c r="N17" i="2"/>
  <c r="I23" i="2"/>
  <c r="I24" i="2"/>
  <c r="C55" i="2" s="1"/>
  <c r="I25" i="2"/>
  <c r="I26" i="2"/>
  <c r="N26" i="2"/>
  <c r="I32" i="2"/>
  <c r="I33" i="2"/>
  <c r="I34" i="2"/>
  <c r="I35" i="2"/>
  <c r="N35" i="2"/>
  <c r="L41" i="2" l="1"/>
  <c r="G45" i="2"/>
  <c r="BS55" i="2"/>
  <c r="BW55" i="2"/>
  <c r="G55" i="2"/>
  <c r="V74" i="4"/>
  <c r="AD70" i="4"/>
  <c r="Z74" i="4"/>
  <c r="AC40" i="3"/>
  <c r="AT40" i="3"/>
  <c r="BD42" i="1"/>
  <c r="BM38" i="1"/>
  <c r="AM42" i="1"/>
  <c r="AU38" i="1"/>
  <c r="AC38" i="1"/>
  <c r="D42" i="1"/>
  <c r="L38" i="1"/>
  <c r="C42" i="1"/>
  <c r="C45" i="2"/>
  <c r="BT45" i="2"/>
  <c r="D45" i="2"/>
  <c r="BS45" i="2"/>
  <c r="BK40" i="3"/>
  <c r="BC44" i="3"/>
  <c r="T44" i="3"/>
  <c r="U44" i="3"/>
  <c r="AK44" i="3"/>
  <c r="C44" i="3"/>
  <c r="Y74" i="4"/>
  <c r="BG74" i="7"/>
  <c r="BK70" i="7"/>
  <c r="AP74" i="7"/>
  <c r="AT70" i="7"/>
  <c r="AL74" i="7"/>
  <c r="AO74" i="7"/>
  <c r="AK74" i="7"/>
  <c r="T74" i="7"/>
  <c r="U74" i="7"/>
  <c r="X74" i="7"/>
  <c r="G74" i="7"/>
  <c r="D74" i="7"/>
  <c r="H74" i="7"/>
  <c r="D46" i="11"/>
  <c r="C46" i="11"/>
  <c r="BK42" i="11"/>
  <c r="BC46" i="11"/>
  <c r="BB46" i="11"/>
  <c r="AT42" i="11"/>
  <c r="AK46" i="11"/>
  <c r="AC42" i="11"/>
  <c r="T46" i="11"/>
  <c r="U46" i="11"/>
  <c r="L42" i="11"/>
  <c r="BM35" i="2" l="1"/>
  <c r="BH35" i="2"/>
  <c r="BH34" i="2"/>
  <c r="BH33" i="2"/>
  <c r="BH32" i="2"/>
  <c r="BM26" i="2"/>
  <c r="BH26" i="2"/>
  <c r="BH25" i="2"/>
  <c r="BH24" i="2"/>
  <c r="BH23" i="2"/>
  <c r="AV35" i="2"/>
  <c r="AQ35" i="2"/>
  <c r="AQ34" i="2"/>
  <c r="AQ33" i="2"/>
  <c r="AQ32" i="2"/>
  <c r="AV26" i="2"/>
  <c r="AQ26" i="2"/>
  <c r="AQ25" i="2"/>
  <c r="AQ24" i="2"/>
  <c r="AQ23" i="2"/>
  <c r="AE35" i="2"/>
  <c r="Z35" i="2"/>
  <c r="Z34" i="2"/>
  <c r="Z33" i="2"/>
  <c r="Z32" i="2"/>
  <c r="AE26" i="2"/>
  <c r="Z26" i="2"/>
  <c r="Z25" i="2"/>
  <c r="Z24" i="2"/>
  <c r="Z23" i="2"/>
  <c r="BM17" i="2" l="1"/>
  <c r="BK41" i="2" s="1"/>
  <c r="AV17" i="2"/>
  <c r="AT41" i="2" s="1"/>
  <c r="AE17" i="2"/>
  <c r="AC41" i="2" s="1"/>
  <c r="BH17" i="2"/>
  <c r="BH16" i="2"/>
  <c r="BH15" i="2"/>
  <c r="BH14" i="2"/>
  <c r="AQ17" i="2"/>
  <c r="AQ16" i="2"/>
  <c r="AQ15" i="2"/>
  <c r="AQ14" i="2"/>
  <c r="Z17" i="2"/>
  <c r="Z16" i="2"/>
  <c r="Z15" i="2"/>
  <c r="Z14" i="2"/>
  <c r="X45" i="2" l="1"/>
  <c r="Y45" i="2"/>
  <c r="AO45" i="2"/>
  <c r="AP45" i="2"/>
  <c r="AP55" i="2"/>
  <c r="AO55" i="2"/>
  <c r="BC55" i="2"/>
  <c r="BB55" i="2"/>
  <c r="U55" i="2"/>
  <c r="T55" i="2"/>
  <c r="Y55" i="2"/>
  <c r="X55" i="2"/>
  <c r="AL55" i="2"/>
  <c r="AK55" i="2"/>
  <c r="BG45" i="2"/>
  <c r="BF45" i="2"/>
  <c r="BG55" i="2"/>
  <c r="BF55" i="2"/>
  <c r="U45" i="2"/>
  <c r="T45" i="2"/>
  <c r="AK45" i="2"/>
  <c r="AL45" i="2"/>
  <c r="BC45" i="2"/>
  <c r="BB45" i="2"/>
</calcChain>
</file>

<file path=xl/sharedStrings.xml><?xml version="1.0" encoding="utf-8"?>
<sst xmlns="http://schemas.openxmlformats.org/spreadsheetml/2006/main" count="2859" uniqueCount="68">
  <si>
    <t>Study the effect of microalgae detection performance of different algorithms</t>
  </si>
  <si>
    <t>Model type:</t>
  </si>
  <si>
    <t xml:space="preserve">yolov5-n </t>
  </si>
  <si>
    <t>Class</t>
  </si>
  <si>
    <t>Images</t>
  </si>
  <si>
    <t>Instances</t>
  </si>
  <si>
    <t>P</t>
  </si>
  <si>
    <t>R</t>
  </si>
  <si>
    <t>mAP50</t>
  </si>
  <si>
    <t>mAP50-95</t>
  </si>
  <si>
    <t>F1_score</t>
  </si>
  <si>
    <t>All</t>
  </si>
  <si>
    <t>C.R</t>
  </si>
  <si>
    <t>C.V</t>
  </si>
  <si>
    <t>S.P</t>
  </si>
  <si>
    <t>Model summary</t>
  </si>
  <si>
    <t>Epoch</t>
  </si>
  <si>
    <t xml:space="preserve">Batch </t>
  </si>
  <si>
    <t>Duration</t>
  </si>
  <si>
    <t>Layers</t>
  </si>
  <si>
    <t>parameters</t>
  </si>
  <si>
    <t>gradients</t>
  </si>
  <si>
    <t>GFLOPS</t>
  </si>
  <si>
    <t>Preprocess</t>
  </si>
  <si>
    <t>Inference time</t>
  </si>
  <si>
    <t>Postprocess</t>
  </si>
  <si>
    <t>Total inference time</t>
  </si>
  <si>
    <t>Unit</t>
  </si>
  <si>
    <t>yolov7-tiny</t>
  </si>
  <si>
    <t xml:space="preserve">yolov8-n </t>
  </si>
  <si>
    <t xml:space="preserve">yolov11-n </t>
  </si>
  <si>
    <t>ms (milliseconds) per image</t>
  </si>
  <si>
    <t>Model type</t>
  </si>
  <si>
    <t>yolov11-n</t>
  </si>
  <si>
    <t>Impact of dataset labelling and number of instances</t>
  </si>
  <si>
    <t>Effect of image pre-processing</t>
  </si>
  <si>
    <t>Type</t>
  </si>
  <si>
    <t>Grayscale</t>
  </si>
  <si>
    <t>Adaptive</t>
  </si>
  <si>
    <t>Histogram</t>
  </si>
  <si>
    <t>Effect of Detection Vs Instance segmentation</t>
  </si>
  <si>
    <t>Box (Instance segmentation)</t>
  </si>
  <si>
    <t>Mask (Instance segmentation)</t>
  </si>
  <si>
    <t>Detection</t>
  </si>
  <si>
    <t>yolov11-s</t>
  </si>
  <si>
    <t>yolov11-m</t>
  </si>
  <si>
    <t>yolov11-l</t>
  </si>
  <si>
    <t>yolov11-x</t>
  </si>
  <si>
    <t>`</t>
  </si>
  <si>
    <t>Seed=0</t>
  </si>
  <si>
    <t>Seed=42</t>
  </si>
  <si>
    <t>Seed=1337</t>
  </si>
  <si>
    <t>Mean</t>
  </si>
  <si>
    <t>Error</t>
  </si>
  <si>
    <t xml:space="preserve">Inference time </t>
  </si>
  <si>
    <t>ms</t>
  </si>
  <si>
    <t>Check</t>
  </si>
  <si>
    <t>Duration (hr)</t>
  </si>
  <si>
    <t>hr</t>
  </si>
  <si>
    <t>min</t>
  </si>
  <si>
    <t>.</t>
  </si>
  <si>
    <t>T4 GPU (High Ram)</t>
  </si>
  <si>
    <t xml:space="preserve">RGB (Baseline model) </t>
  </si>
  <si>
    <t>Impact of Detection model on various sizes [small (s), medium (m), large (l), x-large (x)]</t>
  </si>
  <si>
    <t>Impact of Instance Segmentation model on various sizes [small (s), medium (m), large (l), x-large (x)]</t>
  </si>
  <si>
    <t>fgfdgtdg</t>
  </si>
  <si>
    <t>fdg</t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</si>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</sst>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6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0"/>
      <color theme="1"/>
      <name val="Arial Unicode MS"/>
    </font>
    <font>
      <sz val="10"/>
      <color theme="1"/>
      <name val="Arial Unicode MS"/>
    </font>
    <font>
      <sz val="11"/>
      <color rgb="FFFF0000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0" borderId="0" xfId="0" applyFont="1"/>
    <xf numFmtId="0" fontId="1" fillId="2" borderId="0" xfId="0" applyFont="1" applyFill="1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1" fillId="0" borderId="0" xfId="0" applyFont="1"/>
    <xf numFmtId="0" fontId="3" fillId="0" borderId="1" xfId="0" applyFont="1" applyBorder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/>
    <xf numFmtId="164" fontId="0" fillId="0" borderId="1" xfId="0" applyNumberFormat="1" applyBorder="1"/>
    <xf numFmtId="0" fontId="1" fillId="3" borderId="0" xfId="0" applyFont="1" applyFill="1"/>
    <xf numFmtId="0" fontId="1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0" fillId="0" borderId="1" xfId="0" applyBorder="1" applyAlignment="1">
      <alignment wrapText="1"/>
    </xf>
    <xf numFmtId="165" fontId="0" fillId="0" borderId="1" xfId="0" applyNumberFormat="1" applyBorder="1" applyAlignment="1">
      <alignment horizontal="center"/>
    </xf>
    <xf numFmtId="0" fontId="5" fillId="0" borderId="0" xfId="0" applyFont="1"/>
    <xf numFmtId="164" fontId="0" fillId="2" borderId="1" xfId="0" applyNumberFormat="1" applyFill="1" applyBorder="1" applyAlignment="1">
      <alignment horizontal="center"/>
    </xf>
    <xf numFmtId="0" fontId="0" fillId="0" borderId="0" xfId="0" applyAlignment="1">
      <alignment wrapText="1"/>
    </xf>
    <xf numFmtId="165" fontId="0" fillId="0" borderId="0" xfId="0" applyNumberFormat="1" applyAlignment="1">
      <alignment horizontal="center"/>
    </xf>
    <xf numFmtId="0" fontId="1" fillId="7" borderId="0" xfId="0" applyFont="1" applyFill="1"/>
    <xf numFmtId="164" fontId="0" fillId="0" borderId="0" xfId="0" applyNumberFormat="1"/>
    <xf numFmtId="0" fontId="0" fillId="0" borderId="3" xfId="0" applyBorder="1"/>
    <xf numFmtId="0" fontId="0" fillId="0" borderId="4" xfId="0" applyBorder="1"/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5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86846</xdr:colOff>
      <xdr:row>2</xdr:row>
      <xdr:rowOff>7470</xdr:rowOff>
    </xdr:from>
    <xdr:to>
      <xdr:col>8</xdr:col>
      <xdr:colOff>544286</xdr:colOff>
      <xdr:row>5</xdr:row>
      <xdr:rowOff>533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2D28D983-B800-434F-8AF6-B0B0FE693770}"/>
            </a:ext>
          </a:extLst>
        </xdr:cNvPr>
        <xdr:cNvSpPr/>
      </xdr:nvSpPr>
      <xdr:spPr>
        <a:xfrm>
          <a:off x="694632" y="796684"/>
          <a:ext cx="4956868" cy="537349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YOLOv5-n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_Detection</a:t>
          </a:r>
        </a:p>
      </xdr:txBody>
    </xdr:sp>
    <xdr:clientData/>
  </xdr:twoCellAnchor>
  <xdr:twoCellAnchor>
    <xdr:from>
      <xdr:col>18</xdr:col>
      <xdr:colOff>29882</xdr:colOff>
      <xdr:row>2</xdr:row>
      <xdr:rowOff>61365</xdr:rowOff>
    </xdr:from>
    <xdr:to>
      <xdr:col>26</xdr:col>
      <xdr:colOff>553357</xdr:colOff>
      <xdr:row>5</xdr:row>
      <xdr:rowOff>61365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550A97A6-54AC-44B5-9554-4726D67F4CB1}"/>
            </a:ext>
          </a:extLst>
        </xdr:cNvPr>
        <xdr:cNvSpPr/>
      </xdr:nvSpPr>
      <xdr:spPr>
        <a:xfrm>
          <a:off x="12303525" y="850579"/>
          <a:ext cx="5385761" cy="544286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RGB-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YOLOv7-tiny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_Detection</a:t>
          </a:r>
        </a:p>
      </xdr:txBody>
    </xdr:sp>
    <xdr:clientData/>
  </xdr:twoCellAnchor>
  <xdr:twoCellAnchor>
    <xdr:from>
      <xdr:col>36</xdr:col>
      <xdr:colOff>66557</xdr:colOff>
      <xdr:row>2</xdr:row>
      <xdr:rowOff>107305</xdr:rowOff>
    </xdr:from>
    <xdr:to>
      <xdr:col>44</xdr:col>
      <xdr:colOff>150092</xdr:colOff>
      <xdr:row>5</xdr:row>
      <xdr:rowOff>107305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7701D924-C49D-4B10-888D-AFDC7FFCCDFC}"/>
            </a:ext>
          </a:extLst>
        </xdr:cNvPr>
        <xdr:cNvSpPr/>
      </xdr:nvSpPr>
      <xdr:spPr>
        <a:xfrm>
          <a:off x="24231193" y="892396"/>
          <a:ext cx="5024990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YOLOv8-n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_Detection</a:t>
          </a:r>
        </a:p>
      </xdr:txBody>
    </xdr:sp>
    <xdr:clientData/>
  </xdr:twoCellAnchor>
  <xdr:twoCellAnchor>
    <xdr:from>
      <xdr:col>54</xdr:col>
      <xdr:colOff>76209</xdr:colOff>
      <xdr:row>2</xdr:row>
      <xdr:rowOff>84989</xdr:rowOff>
    </xdr:from>
    <xdr:to>
      <xdr:col>62</xdr:col>
      <xdr:colOff>265544</xdr:colOff>
      <xdr:row>5</xdr:row>
      <xdr:rowOff>84989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AF865BD4-AB76-4DE9-AE34-AAF3F9EC623D}"/>
            </a:ext>
          </a:extLst>
        </xdr:cNvPr>
        <xdr:cNvSpPr/>
      </xdr:nvSpPr>
      <xdr:spPr>
        <a:xfrm>
          <a:off x="35659300" y="870080"/>
          <a:ext cx="5223153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YOLOv11-n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_Detection</a:t>
          </a:r>
        </a:p>
      </xdr:txBody>
    </xdr:sp>
    <xdr:clientData/>
  </xdr:twoCellAnchor>
  <xdr:twoCellAnchor>
    <xdr:from>
      <xdr:col>57</xdr:col>
      <xdr:colOff>94941</xdr:colOff>
      <xdr:row>15</xdr:row>
      <xdr:rowOff>89316</xdr:rowOff>
    </xdr:from>
    <xdr:to>
      <xdr:col>58</xdr:col>
      <xdr:colOff>526143</xdr:colOff>
      <xdr:row>17</xdr:row>
      <xdr:rowOff>120772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D5CE133-57E4-4AE9-A754-76F1948C52C8}"/>
            </a:ext>
          </a:extLst>
        </xdr:cNvPr>
        <xdr:cNvSpPr/>
      </xdr:nvSpPr>
      <xdr:spPr>
        <a:xfrm>
          <a:off x="40689584" y="3554602"/>
          <a:ext cx="1247630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56</xdr:col>
      <xdr:colOff>644070</xdr:colOff>
      <xdr:row>24</xdr:row>
      <xdr:rowOff>103715</xdr:rowOff>
    </xdr:from>
    <xdr:to>
      <xdr:col>58</xdr:col>
      <xdr:colOff>644071</xdr:colOff>
      <xdr:row>26</xdr:row>
      <xdr:rowOff>137207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9D4A50E8-A472-451A-92BB-854705F1CAE6}"/>
            </a:ext>
          </a:extLst>
        </xdr:cNvPr>
        <xdr:cNvSpPr/>
      </xdr:nvSpPr>
      <xdr:spPr>
        <a:xfrm>
          <a:off x="40576499" y="5555644"/>
          <a:ext cx="1478643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58</xdr:col>
      <xdr:colOff>596997</xdr:colOff>
      <xdr:row>15</xdr:row>
      <xdr:rowOff>87930</xdr:rowOff>
    </xdr:from>
    <xdr:to>
      <xdr:col>59</xdr:col>
      <xdr:colOff>660562</xdr:colOff>
      <xdr:row>17</xdr:row>
      <xdr:rowOff>103378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945D2E53-BABF-48A3-B9FC-9A4137D466FC}"/>
            </a:ext>
          </a:extLst>
        </xdr:cNvPr>
        <xdr:cNvSpPr/>
      </xdr:nvSpPr>
      <xdr:spPr>
        <a:xfrm>
          <a:off x="42008068" y="3553216"/>
          <a:ext cx="725780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59</xdr:col>
      <xdr:colOff>48334</xdr:colOff>
      <xdr:row>24</xdr:row>
      <xdr:rowOff>99131</xdr:rowOff>
    </xdr:from>
    <xdr:to>
      <xdr:col>60</xdr:col>
      <xdr:colOff>111900</xdr:colOff>
      <xdr:row>26</xdr:row>
      <xdr:rowOff>121951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03DD78AB-654A-40C8-8672-6F61335FE5B2}"/>
            </a:ext>
          </a:extLst>
        </xdr:cNvPr>
        <xdr:cNvSpPr/>
      </xdr:nvSpPr>
      <xdr:spPr>
        <a:xfrm>
          <a:off x="42121620" y="5551060"/>
          <a:ext cx="725780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63</xdr:col>
      <xdr:colOff>20066</xdr:colOff>
      <xdr:row>33</xdr:row>
      <xdr:rowOff>39273</xdr:rowOff>
    </xdr:from>
    <xdr:to>
      <xdr:col>67</xdr:col>
      <xdr:colOff>362857</xdr:colOff>
      <xdr:row>35</xdr:row>
      <xdr:rowOff>90714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95B75737-AA63-4C87-8372-FD6E1D486828}"/>
            </a:ext>
          </a:extLst>
        </xdr:cNvPr>
        <xdr:cNvSpPr/>
      </xdr:nvSpPr>
      <xdr:spPr>
        <a:xfrm>
          <a:off x="41050137" y="8502916"/>
          <a:ext cx="3000720" cy="41429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53</xdr:col>
      <xdr:colOff>574703</xdr:colOff>
      <xdr:row>33</xdr:row>
      <xdr:rowOff>19209</xdr:rowOff>
    </xdr:from>
    <xdr:to>
      <xdr:col>57</xdr:col>
      <xdr:colOff>99786</xdr:colOff>
      <xdr:row>35</xdr:row>
      <xdr:rowOff>63499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898AF9A4-C5DA-464B-B984-6A13E3820E0C}"/>
            </a:ext>
          </a:extLst>
        </xdr:cNvPr>
        <xdr:cNvSpPr/>
      </xdr:nvSpPr>
      <xdr:spPr>
        <a:xfrm>
          <a:off x="35381774" y="8482852"/>
          <a:ext cx="1956226" cy="407147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57</xdr:col>
      <xdr:colOff>90715</xdr:colOff>
      <xdr:row>6</xdr:row>
      <xdr:rowOff>0</xdr:rowOff>
    </xdr:from>
    <xdr:to>
      <xdr:col>58</xdr:col>
      <xdr:colOff>424825</xdr:colOff>
      <xdr:row>8</xdr:row>
      <xdr:rowOff>31457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EB42AF54-AEFC-40F6-98E8-88744469D6AB}"/>
            </a:ext>
          </a:extLst>
        </xdr:cNvPr>
        <xdr:cNvSpPr/>
      </xdr:nvSpPr>
      <xdr:spPr>
        <a:xfrm>
          <a:off x="37328929" y="1333500"/>
          <a:ext cx="1087039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58</xdr:col>
      <xdr:colOff>490846</xdr:colOff>
      <xdr:row>6</xdr:row>
      <xdr:rowOff>19426</xdr:rowOff>
    </xdr:from>
    <xdr:to>
      <xdr:col>59</xdr:col>
      <xdr:colOff>554412</xdr:colOff>
      <xdr:row>8</xdr:row>
      <xdr:rowOff>36913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4966611F-82C0-4CF5-ABD1-7F9F3428F233}"/>
            </a:ext>
          </a:extLst>
        </xdr:cNvPr>
        <xdr:cNvSpPr/>
      </xdr:nvSpPr>
      <xdr:spPr>
        <a:xfrm>
          <a:off x="38481989" y="1352926"/>
          <a:ext cx="671352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39</xdr:col>
      <xdr:colOff>4227</xdr:colOff>
      <xdr:row>15</xdr:row>
      <xdr:rowOff>43958</xdr:rowOff>
    </xdr:from>
    <xdr:to>
      <xdr:col>40</xdr:col>
      <xdr:colOff>585079</xdr:colOff>
      <xdr:row>17</xdr:row>
      <xdr:rowOff>75414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438476F2-367B-48CA-8B10-8A0E36F79EEF}"/>
            </a:ext>
          </a:extLst>
        </xdr:cNvPr>
        <xdr:cNvSpPr/>
      </xdr:nvSpPr>
      <xdr:spPr>
        <a:xfrm>
          <a:off x="37411500" y="3415231"/>
          <a:ext cx="1331306" cy="40091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39</xdr:col>
      <xdr:colOff>0</xdr:colOff>
      <xdr:row>24</xdr:row>
      <xdr:rowOff>85573</xdr:rowOff>
    </xdr:from>
    <xdr:to>
      <xdr:col>41</xdr:col>
      <xdr:colOff>127000</xdr:colOff>
      <xdr:row>26</xdr:row>
      <xdr:rowOff>119065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4E4F44E0-0AB1-4626-9763-22A65B8AD34C}"/>
            </a:ext>
          </a:extLst>
        </xdr:cNvPr>
        <xdr:cNvSpPr/>
      </xdr:nvSpPr>
      <xdr:spPr>
        <a:xfrm>
          <a:off x="28266571" y="5537502"/>
          <a:ext cx="1451429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41</xdr:col>
      <xdr:colOff>52710</xdr:colOff>
      <xdr:row>15</xdr:row>
      <xdr:rowOff>60716</xdr:rowOff>
    </xdr:from>
    <xdr:to>
      <xdr:col>42</xdr:col>
      <xdr:colOff>116276</xdr:colOff>
      <xdr:row>17</xdr:row>
      <xdr:rowOff>76164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56B934D2-98CD-4043-BAFF-A3FA14860794}"/>
            </a:ext>
          </a:extLst>
        </xdr:cNvPr>
        <xdr:cNvSpPr/>
      </xdr:nvSpPr>
      <xdr:spPr>
        <a:xfrm>
          <a:off x="38822346" y="3431989"/>
          <a:ext cx="675475" cy="38490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41</xdr:col>
      <xdr:colOff>202549</xdr:colOff>
      <xdr:row>24</xdr:row>
      <xdr:rowOff>99131</xdr:rowOff>
    </xdr:from>
    <xdr:to>
      <xdr:col>42</xdr:col>
      <xdr:colOff>266115</xdr:colOff>
      <xdr:row>26</xdr:row>
      <xdr:rowOff>121951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95A16159-F52A-4A7F-8ACC-5FD51585F726}"/>
            </a:ext>
          </a:extLst>
        </xdr:cNvPr>
        <xdr:cNvSpPr/>
      </xdr:nvSpPr>
      <xdr:spPr>
        <a:xfrm>
          <a:off x="29793549" y="5551060"/>
          <a:ext cx="725780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45</xdr:col>
      <xdr:colOff>20066</xdr:colOff>
      <xdr:row>33</xdr:row>
      <xdr:rowOff>39273</xdr:rowOff>
    </xdr:from>
    <xdr:to>
      <xdr:col>49</xdr:col>
      <xdr:colOff>362857</xdr:colOff>
      <xdr:row>35</xdr:row>
      <xdr:rowOff>90714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EEA561F8-9BD3-41A5-8021-5D9EB0739D0C}"/>
            </a:ext>
          </a:extLst>
        </xdr:cNvPr>
        <xdr:cNvSpPr/>
      </xdr:nvSpPr>
      <xdr:spPr>
        <a:xfrm>
          <a:off x="41237339" y="7474546"/>
          <a:ext cx="3009791" cy="420895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35</xdr:col>
      <xdr:colOff>574703</xdr:colOff>
      <xdr:row>33</xdr:row>
      <xdr:rowOff>19209</xdr:rowOff>
    </xdr:from>
    <xdr:to>
      <xdr:col>39</xdr:col>
      <xdr:colOff>99786</xdr:colOff>
      <xdr:row>35</xdr:row>
      <xdr:rowOff>63499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D7ECF9B2-559D-4EFB-8E12-B669C814A1AC}"/>
            </a:ext>
          </a:extLst>
        </xdr:cNvPr>
        <xdr:cNvSpPr/>
      </xdr:nvSpPr>
      <xdr:spPr>
        <a:xfrm>
          <a:off x="35534339" y="7454482"/>
          <a:ext cx="1972720" cy="413744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39</xdr:col>
      <xdr:colOff>45358</xdr:colOff>
      <xdr:row>6</xdr:row>
      <xdr:rowOff>72571</xdr:rowOff>
    </xdr:from>
    <xdr:to>
      <xdr:col>40</xdr:col>
      <xdr:colOff>553357</xdr:colOff>
      <xdr:row>8</xdr:row>
      <xdr:rowOff>99785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597B262B-C203-4475-9CAD-C24F4A8699C2}"/>
            </a:ext>
          </a:extLst>
        </xdr:cNvPr>
        <xdr:cNvSpPr/>
      </xdr:nvSpPr>
      <xdr:spPr>
        <a:xfrm>
          <a:off x="28311929" y="1551214"/>
          <a:ext cx="1170214" cy="39007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41</xdr:col>
      <xdr:colOff>64489</xdr:colOff>
      <xdr:row>6</xdr:row>
      <xdr:rowOff>46640</xdr:rowOff>
    </xdr:from>
    <xdr:to>
      <xdr:col>42</xdr:col>
      <xdr:colOff>128055</xdr:colOff>
      <xdr:row>8</xdr:row>
      <xdr:rowOff>64127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F8C89577-787F-4186-A0EB-2B67C982EF5A}"/>
            </a:ext>
          </a:extLst>
        </xdr:cNvPr>
        <xdr:cNvSpPr/>
      </xdr:nvSpPr>
      <xdr:spPr>
        <a:xfrm>
          <a:off x="29655489" y="1525283"/>
          <a:ext cx="725780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21</xdr:col>
      <xdr:colOff>4227</xdr:colOff>
      <xdr:row>15</xdr:row>
      <xdr:rowOff>43958</xdr:rowOff>
    </xdr:from>
    <xdr:to>
      <xdr:col>22</xdr:col>
      <xdr:colOff>585079</xdr:colOff>
      <xdr:row>17</xdr:row>
      <xdr:rowOff>75414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B2483F1-1DB5-4001-ADEC-1B201DE4AF88}"/>
            </a:ext>
          </a:extLst>
        </xdr:cNvPr>
        <xdr:cNvSpPr/>
      </xdr:nvSpPr>
      <xdr:spPr>
        <a:xfrm>
          <a:off x="37411500" y="3415231"/>
          <a:ext cx="1331306" cy="40091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20</xdr:col>
      <xdr:colOff>544285</xdr:colOff>
      <xdr:row>24</xdr:row>
      <xdr:rowOff>67430</xdr:rowOff>
    </xdr:from>
    <xdr:to>
      <xdr:col>23</xdr:col>
      <xdr:colOff>202868</xdr:colOff>
      <xdr:row>26</xdr:row>
      <xdr:rowOff>100922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0C119E19-895F-45B1-BE22-6E8769D95BFC}"/>
            </a:ext>
          </a:extLst>
        </xdr:cNvPr>
        <xdr:cNvSpPr/>
      </xdr:nvSpPr>
      <xdr:spPr>
        <a:xfrm>
          <a:off x="37339649" y="5470703"/>
          <a:ext cx="1632855" cy="40294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23</xdr:col>
      <xdr:colOff>52710</xdr:colOff>
      <xdr:row>15</xdr:row>
      <xdr:rowOff>60716</xdr:rowOff>
    </xdr:from>
    <xdr:to>
      <xdr:col>24</xdr:col>
      <xdr:colOff>116276</xdr:colOff>
      <xdr:row>17</xdr:row>
      <xdr:rowOff>76164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B1A2EE3-1091-44DD-9FEB-63B7143E17A1}"/>
            </a:ext>
          </a:extLst>
        </xdr:cNvPr>
        <xdr:cNvSpPr/>
      </xdr:nvSpPr>
      <xdr:spPr>
        <a:xfrm>
          <a:off x="38822346" y="3431989"/>
          <a:ext cx="675475" cy="38490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23</xdr:col>
      <xdr:colOff>275120</xdr:colOff>
      <xdr:row>24</xdr:row>
      <xdr:rowOff>62845</xdr:rowOff>
    </xdr:from>
    <xdr:to>
      <xdr:col>24</xdr:col>
      <xdr:colOff>338686</xdr:colOff>
      <xdr:row>26</xdr:row>
      <xdr:rowOff>85665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16CF82F4-1FD6-4CE9-981B-9825B7D981EE}"/>
            </a:ext>
          </a:extLst>
        </xdr:cNvPr>
        <xdr:cNvSpPr/>
      </xdr:nvSpPr>
      <xdr:spPr>
        <a:xfrm>
          <a:off x="39044756" y="5466118"/>
          <a:ext cx="675475" cy="39227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27</xdr:col>
      <xdr:colOff>20066</xdr:colOff>
      <xdr:row>33</xdr:row>
      <xdr:rowOff>39273</xdr:rowOff>
    </xdr:from>
    <xdr:to>
      <xdr:col>31</xdr:col>
      <xdr:colOff>362857</xdr:colOff>
      <xdr:row>35</xdr:row>
      <xdr:rowOff>90714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C778933-49FE-4B77-A9F5-D6C1F7570206}"/>
            </a:ext>
          </a:extLst>
        </xdr:cNvPr>
        <xdr:cNvSpPr/>
      </xdr:nvSpPr>
      <xdr:spPr>
        <a:xfrm>
          <a:off x="41237339" y="7474546"/>
          <a:ext cx="3009791" cy="420895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17</xdr:col>
      <xdr:colOff>574703</xdr:colOff>
      <xdr:row>33</xdr:row>
      <xdr:rowOff>19209</xdr:rowOff>
    </xdr:from>
    <xdr:to>
      <xdr:col>21</xdr:col>
      <xdr:colOff>99786</xdr:colOff>
      <xdr:row>35</xdr:row>
      <xdr:rowOff>63499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D0DE28F9-34FF-4CC4-8FB5-C80104DB0C90}"/>
            </a:ext>
          </a:extLst>
        </xdr:cNvPr>
        <xdr:cNvSpPr/>
      </xdr:nvSpPr>
      <xdr:spPr>
        <a:xfrm>
          <a:off x="35534339" y="7454482"/>
          <a:ext cx="1972720" cy="413744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21</xdr:col>
      <xdr:colOff>127000</xdr:colOff>
      <xdr:row>6</xdr:row>
      <xdr:rowOff>72571</xdr:rowOff>
    </xdr:from>
    <xdr:to>
      <xdr:col>22</xdr:col>
      <xdr:colOff>544285</xdr:colOff>
      <xdr:row>8</xdr:row>
      <xdr:rowOff>104028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2E35136C-7922-4423-A820-9B0D8F9F86DD}"/>
            </a:ext>
          </a:extLst>
        </xdr:cNvPr>
        <xdr:cNvSpPr/>
      </xdr:nvSpPr>
      <xdr:spPr>
        <a:xfrm>
          <a:off x="15484929" y="1551214"/>
          <a:ext cx="1079499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22</xdr:col>
      <xdr:colOff>635989</xdr:colOff>
      <xdr:row>6</xdr:row>
      <xdr:rowOff>82926</xdr:rowOff>
    </xdr:from>
    <xdr:to>
      <xdr:col>24</xdr:col>
      <xdr:colOff>37341</xdr:colOff>
      <xdr:row>8</xdr:row>
      <xdr:rowOff>108857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0BA7813E-A432-4420-AA28-05B89C68F581}"/>
            </a:ext>
          </a:extLst>
        </xdr:cNvPr>
        <xdr:cNvSpPr/>
      </xdr:nvSpPr>
      <xdr:spPr>
        <a:xfrm>
          <a:off x="16656132" y="1561569"/>
          <a:ext cx="725780" cy="38878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4</xdr:col>
      <xdr:colOff>249156</xdr:colOff>
      <xdr:row>15</xdr:row>
      <xdr:rowOff>71172</xdr:rowOff>
    </xdr:from>
    <xdr:to>
      <xdr:col>6</xdr:col>
      <xdr:colOff>167794</xdr:colOff>
      <xdr:row>17</xdr:row>
      <xdr:rowOff>102628</xdr:rowOff>
    </xdr:to>
    <xdr:sp macro="" textlink="">
      <xdr:nvSpPr>
        <xdr:cNvPr id="77" name="Rectangle 76">
          <a:extLst>
            <a:ext uri="{FF2B5EF4-FFF2-40B4-BE49-F238E27FC236}">
              <a16:creationId xmlns:a16="http://schemas.microsoft.com/office/drawing/2014/main" id="{787DAA81-54D7-49B4-8AAE-DF39089CB121}"/>
            </a:ext>
          </a:extLst>
        </xdr:cNvPr>
        <xdr:cNvSpPr/>
      </xdr:nvSpPr>
      <xdr:spPr>
        <a:xfrm>
          <a:off x="3161085" y="3536458"/>
          <a:ext cx="1243066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4</xdr:col>
      <xdr:colOff>54428</xdr:colOff>
      <xdr:row>24</xdr:row>
      <xdr:rowOff>67430</xdr:rowOff>
    </xdr:from>
    <xdr:to>
      <xdr:col>6</xdr:col>
      <xdr:colOff>172358</xdr:colOff>
      <xdr:row>26</xdr:row>
      <xdr:rowOff>100922</xdr:rowOff>
    </xdr:to>
    <xdr:sp macro="" textlink="">
      <xdr:nvSpPr>
        <xdr:cNvPr id="78" name="Rectangle 77">
          <a:extLst>
            <a:ext uri="{FF2B5EF4-FFF2-40B4-BE49-F238E27FC236}">
              <a16:creationId xmlns:a16="http://schemas.microsoft.com/office/drawing/2014/main" id="{834123CA-0C0F-4E2E-BD02-830133A3F3C6}"/>
            </a:ext>
          </a:extLst>
        </xdr:cNvPr>
        <xdr:cNvSpPr/>
      </xdr:nvSpPr>
      <xdr:spPr>
        <a:xfrm>
          <a:off x="2966357" y="5519359"/>
          <a:ext cx="1442358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6</xdr:col>
      <xdr:colOff>261353</xdr:colOff>
      <xdr:row>15</xdr:row>
      <xdr:rowOff>87930</xdr:rowOff>
    </xdr:from>
    <xdr:to>
      <xdr:col>7</xdr:col>
      <xdr:colOff>324919</xdr:colOff>
      <xdr:row>17</xdr:row>
      <xdr:rowOff>103378</xdr:rowOff>
    </xdr:to>
    <xdr:sp macro="" textlink="">
      <xdr:nvSpPr>
        <xdr:cNvPr id="79" name="Rectangle 78">
          <a:extLst>
            <a:ext uri="{FF2B5EF4-FFF2-40B4-BE49-F238E27FC236}">
              <a16:creationId xmlns:a16="http://schemas.microsoft.com/office/drawing/2014/main" id="{838821D8-327A-44DF-9A52-37D3EB50A54E}"/>
            </a:ext>
          </a:extLst>
        </xdr:cNvPr>
        <xdr:cNvSpPr/>
      </xdr:nvSpPr>
      <xdr:spPr>
        <a:xfrm>
          <a:off x="4497710" y="3553216"/>
          <a:ext cx="725780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6</xdr:col>
      <xdr:colOff>275120</xdr:colOff>
      <xdr:row>24</xdr:row>
      <xdr:rowOff>62845</xdr:rowOff>
    </xdr:from>
    <xdr:to>
      <xdr:col>7</xdr:col>
      <xdr:colOff>299358</xdr:colOff>
      <xdr:row>26</xdr:row>
      <xdr:rowOff>85665</xdr:rowOff>
    </xdr:to>
    <xdr:sp macro="" textlink="">
      <xdr:nvSpPr>
        <xdr:cNvPr id="80" name="Rectangle 79">
          <a:extLst>
            <a:ext uri="{FF2B5EF4-FFF2-40B4-BE49-F238E27FC236}">
              <a16:creationId xmlns:a16="http://schemas.microsoft.com/office/drawing/2014/main" id="{F6B2E24D-5E74-480D-8CF8-EAB21AB81F8E}"/>
            </a:ext>
          </a:extLst>
        </xdr:cNvPr>
        <xdr:cNvSpPr/>
      </xdr:nvSpPr>
      <xdr:spPr>
        <a:xfrm>
          <a:off x="4511477" y="5514774"/>
          <a:ext cx="686452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10</xdr:col>
      <xdr:colOff>20067</xdr:colOff>
      <xdr:row>33</xdr:row>
      <xdr:rowOff>39273</xdr:rowOff>
    </xdr:from>
    <xdr:to>
      <xdr:col>13</xdr:col>
      <xdr:colOff>489858</xdr:colOff>
      <xdr:row>35</xdr:row>
      <xdr:rowOff>90714</xdr:rowOff>
    </xdr:to>
    <xdr:sp macro="" textlink="">
      <xdr:nvSpPr>
        <xdr:cNvPr id="81" name="Rectangle 80">
          <a:extLst>
            <a:ext uri="{FF2B5EF4-FFF2-40B4-BE49-F238E27FC236}">
              <a16:creationId xmlns:a16="http://schemas.microsoft.com/office/drawing/2014/main" id="{B0D86E48-0E6C-4D2D-A5D0-86A7B32674D0}"/>
            </a:ext>
          </a:extLst>
        </xdr:cNvPr>
        <xdr:cNvSpPr/>
      </xdr:nvSpPr>
      <xdr:spPr>
        <a:xfrm>
          <a:off x="6342853" y="8684344"/>
          <a:ext cx="3027934" cy="414299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0</xdr:col>
      <xdr:colOff>574703</xdr:colOff>
      <xdr:row>33</xdr:row>
      <xdr:rowOff>19209</xdr:rowOff>
    </xdr:from>
    <xdr:to>
      <xdr:col>4</xdr:col>
      <xdr:colOff>99786</xdr:colOff>
      <xdr:row>35</xdr:row>
      <xdr:rowOff>63499</xdr:rowOff>
    </xdr:to>
    <xdr:sp macro="" textlink="">
      <xdr:nvSpPr>
        <xdr:cNvPr id="82" name="Rectangle 81">
          <a:extLst>
            <a:ext uri="{FF2B5EF4-FFF2-40B4-BE49-F238E27FC236}">
              <a16:creationId xmlns:a16="http://schemas.microsoft.com/office/drawing/2014/main" id="{AF0DD4EC-AD73-4998-8367-6D9EAC76C6AA}"/>
            </a:ext>
          </a:extLst>
        </xdr:cNvPr>
        <xdr:cNvSpPr/>
      </xdr:nvSpPr>
      <xdr:spPr>
        <a:xfrm>
          <a:off x="12270248" y="8747573"/>
          <a:ext cx="1972720" cy="413744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4</xdr:col>
      <xdr:colOff>326571</xdr:colOff>
      <xdr:row>6</xdr:row>
      <xdr:rowOff>81643</xdr:rowOff>
    </xdr:from>
    <xdr:to>
      <xdr:col>6</xdr:col>
      <xdr:colOff>136071</xdr:colOff>
      <xdr:row>8</xdr:row>
      <xdr:rowOff>113100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AABDBA48-F9E9-4EF7-AECC-7C68E58047A2}"/>
            </a:ext>
          </a:extLst>
        </xdr:cNvPr>
        <xdr:cNvSpPr/>
      </xdr:nvSpPr>
      <xdr:spPr>
        <a:xfrm>
          <a:off x="3238500" y="1560286"/>
          <a:ext cx="1133928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6</xdr:col>
      <xdr:colOff>236848</xdr:colOff>
      <xdr:row>6</xdr:row>
      <xdr:rowOff>91998</xdr:rowOff>
    </xdr:from>
    <xdr:to>
      <xdr:col>7</xdr:col>
      <xdr:colOff>300414</xdr:colOff>
      <xdr:row>8</xdr:row>
      <xdr:rowOff>109485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7790CCEC-CE4F-4F97-8E2C-2AEE640D2C49}"/>
            </a:ext>
          </a:extLst>
        </xdr:cNvPr>
        <xdr:cNvSpPr/>
      </xdr:nvSpPr>
      <xdr:spPr>
        <a:xfrm>
          <a:off x="4473205" y="1570641"/>
          <a:ext cx="725780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72</xdr:col>
      <xdr:colOff>4227</xdr:colOff>
      <xdr:row>18</xdr:row>
      <xdr:rowOff>43958</xdr:rowOff>
    </xdr:from>
    <xdr:to>
      <xdr:col>73</xdr:col>
      <xdr:colOff>585079</xdr:colOff>
      <xdr:row>20</xdr:row>
      <xdr:rowOff>75414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98E21CA-4852-4353-AED2-835345B2AC01}"/>
            </a:ext>
          </a:extLst>
        </xdr:cNvPr>
        <xdr:cNvSpPr/>
      </xdr:nvSpPr>
      <xdr:spPr>
        <a:xfrm>
          <a:off x="3071277" y="3041158"/>
          <a:ext cx="1190452" cy="39975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71</xdr:col>
      <xdr:colOff>544285</xdr:colOff>
      <xdr:row>27</xdr:row>
      <xdr:rowOff>67430</xdr:rowOff>
    </xdr:from>
    <xdr:to>
      <xdr:col>74</xdr:col>
      <xdr:colOff>202868</xdr:colOff>
      <xdr:row>29</xdr:row>
      <xdr:rowOff>100922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37D26D0-A60D-462A-8A15-023F4D2D2867}"/>
            </a:ext>
          </a:extLst>
        </xdr:cNvPr>
        <xdr:cNvSpPr/>
      </xdr:nvSpPr>
      <xdr:spPr>
        <a:xfrm>
          <a:off x="3001735" y="5090280"/>
          <a:ext cx="1487383" cy="40179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74</xdr:col>
      <xdr:colOff>52710</xdr:colOff>
      <xdr:row>18</xdr:row>
      <xdr:rowOff>60716</xdr:rowOff>
    </xdr:from>
    <xdr:to>
      <xdr:col>75</xdr:col>
      <xdr:colOff>116276</xdr:colOff>
      <xdr:row>20</xdr:row>
      <xdr:rowOff>76164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5B07CB7D-D398-42BB-A2EE-F4E82406F5F6}"/>
            </a:ext>
          </a:extLst>
        </xdr:cNvPr>
        <xdr:cNvSpPr/>
      </xdr:nvSpPr>
      <xdr:spPr>
        <a:xfrm>
          <a:off x="4338960" y="3057916"/>
          <a:ext cx="673166" cy="38374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74</xdr:col>
      <xdr:colOff>275120</xdr:colOff>
      <xdr:row>27</xdr:row>
      <xdr:rowOff>62845</xdr:rowOff>
    </xdr:from>
    <xdr:to>
      <xdr:col>75</xdr:col>
      <xdr:colOff>338686</xdr:colOff>
      <xdr:row>29</xdr:row>
      <xdr:rowOff>85665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9CBD1AE2-1889-4FF5-A5DE-0D0CCE3155B4}"/>
            </a:ext>
          </a:extLst>
        </xdr:cNvPr>
        <xdr:cNvSpPr/>
      </xdr:nvSpPr>
      <xdr:spPr>
        <a:xfrm>
          <a:off x="4561370" y="5085695"/>
          <a:ext cx="673166" cy="39112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78</xdr:col>
      <xdr:colOff>20066</xdr:colOff>
      <xdr:row>36</xdr:row>
      <xdr:rowOff>39273</xdr:rowOff>
    </xdr:from>
    <xdr:to>
      <xdr:col>82</xdr:col>
      <xdr:colOff>616857</xdr:colOff>
      <xdr:row>38</xdr:row>
      <xdr:rowOff>108857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B0735900-8193-40B2-98D0-89D19B36D455}"/>
            </a:ext>
          </a:extLst>
        </xdr:cNvPr>
        <xdr:cNvSpPr/>
      </xdr:nvSpPr>
      <xdr:spPr>
        <a:xfrm>
          <a:off x="50021780" y="7024273"/>
          <a:ext cx="3027934" cy="43244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69</xdr:col>
      <xdr:colOff>12274</xdr:colOff>
      <xdr:row>36</xdr:row>
      <xdr:rowOff>46424</xdr:rowOff>
    </xdr:from>
    <xdr:to>
      <xdr:col>72</xdr:col>
      <xdr:colOff>145143</xdr:colOff>
      <xdr:row>38</xdr:row>
      <xdr:rowOff>63500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9147127D-66AB-462A-9D88-B0B148C17201}"/>
            </a:ext>
          </a:extLst>
        </xdr:cNvPr>
        <xdr:cNvSpPr/>
      </xdr:nvSpPr>
      <xdr:spPr>
        <a:xfrm>
          <a:off x="44543917" y="7031424"/>
          <a:ext cx="1956226" cy="379933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72</xdr:col>
      <xdr:colOff>13194</xdr:colOff>
      <xdr:row>9</xdr:row>
      <xdr:rowOff>28785</xdr:rowOff>
    </xdr:from>
    <xdr:to>
      <xdr:col>73</xdr:col>
      <xdr:colOff>492447</xdr:colOff>
      <xdr:row>11</xdr:row>
      <xdr:rowOff>60241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5AD27C6A-A99A-466D-A31F-6B7D316B38DE}"/>
            </a:ext>
          </a:extLst>
        </xdr:cNvPr>
        <xdr:cNvSpPr/>
      </xdr:nvSpPr>
      <xdr:spPr>
        <a:xfrm>
          <a:off x="46576012" y="1552785"/>
          <a:ext cx="1091162" cy="40091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73</xdr:col>
      <xdr:colOff>570014</xdr:colOff>
      <xdr:row>9</xdr:row>
      <xdr:rowOff>25120</xdr:rowOff>
    </xdr:from>
    <xdr:to>
      <xdr:col>75</xdr:col>
      <xdr:colOff>25795</xdr:colOff>
      <xdr:row>11</xdr:row>
      <xdr:rowOff>42606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6CC14510-EFE1-44ED-A283-0C2A17736B75}"/>
            </a:ext>
          </a:extLst>
        </xdr:cNvPr>
        <xdr:cNvSpPr/>
      </xdr:nvSpPr>
      <xdr:spPr>
        <a:xfrm>
          <a:off x="47744741" y="1549120"/>
          <a:ext cx="679599" cy="38694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52</xdr:col>
      <xdr:colOff>5471</xdr:colOff>
      <xdr:row>36</xdr:row>
      <xdr:rowOff>30549</xdr:rowOff>
    </xdr:from>
    <xdr:to>
      <xdr:col>55</xdr:col>
      <xdr:colOff>133804</xdr:colOff>
      <xdr:row>38</xdr:row>
      <xdr:rowOff>40154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6A1E00EB-0002-463C-B796-06545888B051}"/>
            </a:ext>
          </a:extLst>
        </xdr:cNvPr>
        <xdr:cNvSpPr/>
      </xdr:nvSpPr>
      <xdr:spPr>
        <a:xfrm>
          <a:off x="33819221" y="8396674"/>
          <a:ext cx="2001583" cy="390605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61</xdr:col>
      <xdr:colOff>20066</xdr:colOff>
      <xdr:row>36</xdr:row>
      <xdr:rowOff>39272</xdr:rowOff>
    </xdr:from>
    <xdr:to>
      <xdr:col>65</xdr:col>
      <xdr:colOff>616857</xdr:colOff>
      <xdr:row>38</xdr:row>
      <xdr:rowOff>67234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8C59B60-50F0-45C8-98FB-6953BFB6DB66}"/>
            </a:ext>
          </a:extLst>
        </xdr:cNvPr>
        <xdr:cNvSpPr/>
      </xdr:nvSpPr>
      <xdr:spPr>
        <a:xfrm>
          <a:off x="39778537" y="7158743"/>
          <a:ext cx="3106908" cy="40149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35</xdr:col>
      <xdr:colOff>3204</xdr:colOff>
      <xdr:row>36</xdr:row>
      <xdr:rowOff>73637</xdr:rowOff>
    </xdr:from>
    <xdr:to>
      <xdr:col>38</xdr:col>
      <xdr:colOff>136072</xdr:colOff>
      <xdr:row>38</xdr:row>
      <xdr:rowOff>90713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D6B2C7B9-9E8E-426F-9FD7-DA615C206C41}"/>
            </a:ext>
          </a:extLst>
        </xdr:cNvPr>
        <xdr:cNvSpPr/>
      </xdr:nvSpPr>
      <xdr:spPr>
        <a:xfrm>
          <a:off x="23652418" y="7602923"/>
          <a:ext cx="1956225" cy="379933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17</xdr:col>
      <xdr:colOff>592846</xdr:colOff>
      <xdr:row>36</xdr:row>
      <xdr:rowOff>109924</xdr:rowOff>
    </xdr:from>
    <xdr:to>
      <xdr:col>21</xdr:col>
      <xdr:colOff>27215</xdr:colOff>
      <xdr:row>38</xdr:row>
      <xdr:rowOff>145143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76B95C1C-1E8F-46AA-A635-4282AA0C48F6}"/>
            </a:ext>
          </a:extLst>
        </xdr:cNvPr>
        <xdr:cNvSpPr/>
      </xdr:nvSpPr>
      <xdr:spPr>
        <a:xfrm>
          <a:off x="12875560" y="7094924"/>
          <a:ext cx="1974369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0</xdr:col>
      <xdr:colOff>592847</xdr:colOff>
      <xdr:row>36</xdr:row>
      <xdr:rowOff>55495</xdr:rowOff>
    </xdr:from>
    <xdr:to>
      <xdr:col>4</xdr:col>
      <xdr:colOff>254000</xdr:colOff>
      <xdr:row>38</xdr:row>
      <xdr:rowOff>90714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C3FDCBD9-B995-41D8-936D-088F9C365825}"/>
            </a:ext>
          </a:extLst>
        </xdr:cNvPr>
        <xdr:cNvSpPr/>
      </xdr:nvSpPr>
      <xdr:spPr>
        <a:xfrm>
          <a:off x="592847" y="8295554"/>
          <a:ext cx="2395388" cy="40874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All</a:t>
          </a:r>
          <a:endParaRPr lang="en-MY" sz="2000"/>
        </a:p>
      </xdr:txBody>
    </xdr:sp>
    <xdr:clientData/>
  </xdr:twoCellAnchor>
  <xdr:twoCellAnchor>
    <xdr:from>
      <xdr:col>44</xdr:col>
      <xdr:colOff>20066</xdr:colOff>
      <xdr:row>36</xdr:row>
      <xdr:rowOff>39273</xdr:rowOff>
    </xdr:from>
    <xdr:to>
      <xdr:col>49</xdr:col>
      <xdr:colOff>2721</xdr:colOff>
      <xdr:row>38</xdr:row>
      <xdr:rowOff>127000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6D922066-B789-4F98-A593-6DAFD179C390}"/>
            </a:ext>
          </a:extLst>
        </xdr:cNvPr>
        <xdr:cNvSpPr/>
      </xdr:nvSpPr>
      <xdr:spPr>
        <a:xfrm>
          <a:off x="29139352" y="7568559"/>
          <a:ext cx="3076012" cy="450584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27</xdr:col>
      <xdr:colOff>20066</xdr:colOff>
      <xdr:row>36</xdr:row>
      <xdr:rowOff>39273</xdr:rowOff>
    </xdr:from>
    <xdr:to>
      <xdr:col>31</xdr:col>
      <xdr:colOff>535215</xdr:colOff>
      <xdr:row>38</xdr:row>
      <xdr:rowOff>117929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4D432636-43F2-49A1-B63F-BD6101F004CA}"/>
            </a:ext>
          </a:extLst>
        </xdr:cNvPr>
        <xdr:cNvSpPr/>
      </xdr:nvSpPr>
      <xdr:spPr>
        <a:xfrm>
          <a:off x="18489495" y="7024273"/>
          <a:ext cx="3136791" cy="441513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10</xdr:col>
      <xdr:colOff>1924</xdr:colOff>
      <xdr:row>36</xdr:row>
      <xdr:rowOff>2987</xdr:rowOff>
    </xdr:from>
    <xdr:to>
      <xdr:col>14</xdr:col>
      <xdr:colOff>9072</xdr:colOff>
      <xdr:row>38</xdr:row>
      <xdr:rowOff>54428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235AD850-9B18-4381-A0EA-A86316BD4140}"/>
            </a:ext>
          </a:extLst>
        </xdr:cNvPr>
        <xdr:cNvSpPr/>
      </xdr:nvSpPr>
      <xdr:spPr>
        <a:xfrm>
          <a:off x="6388210" y="6987987"/>
          <a:ext cx="3018862" cy="41429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</xdr:col>
      <xdr:colOff>36288</xdr:colOff>
      <xdr:row>5</xdr:row>
      <xdr:rowOff>54429</xdr:rowOff>
    </xdr:from>
    <xdr:to>
      <xdr:col>10</xdr:col>
      <xdr:colOff>473364</xdr:colOff>
      <xdr:row>8</xdr:row>
      <xdr:rowOff>54429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90AF4C2D-7400-45FD-980F-033103B7CC3D}"/>
            </a:ext>
          </a:extLst>
        </xdr:cNvPr>
        <xdr:cNvSpPr/>
      </xdr:nvSpPr>
      <xdr:spPr>
        <a:xfrm>
          <a:off x="694379" y="1324429"/>
          <a:ext cx="6706258" cy="519545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RGB_YOLOv11-n_Detection_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(Trial-1)</a:t>
          </a:r>
        </a:p>
      </xdr:txBody>
    </xdr:sp>
    <xdr:clientData/>
  </xdr:twoCellAnchor>
  <xdr:twoCellAnchor>
    <xdr:from>
      <xdr:col>18</xdr:col>
      <xdr:colOff>43545</xdr:colOff>
      <xdr:row>5</xdr:row>
      <xdr:rowOff>61687</xdr:rowOff>
    </xdr:from>
    <xdr:to>
      <xdr:col>28</xdr:col>
      <xdr:colOff>484909</xdr:colOff>
      <xdr:row>8</xdr:row>
      <xdr:rowOff>61687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E0ECF376-A2F3-425B-B6BD-05A3029F503A}"/>
            </a:ext>
          </a:extLst>
        </xdr:cNvPr>
        <xdr:cNvSpPr/>
      </xdr:nvSpPr>
      <xdr:spPr>
        <a:xfrm>
          <a:off x="12974454" y="1400960"/>
          <a:ext cx="6733637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RGB_YOLOv11-n_Detection_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(Trial-2)</a:t>
          </a:r>
        </a:p>
      </xdr:txBody>
    </xdr:sp>
    <xdr:clientData/>
  </xdr:twoCellAnchor>
  <xdr:twoCellAnchor>
    <xdr:from>
      <xdr:col>35</xdr:col>
      <xdr:colOff>32660</xdr:colOff>
      <xdr:row>5</xdr:row>
      <xdr:rowOff>96159</xdr:rowOff>
    </xdr:from>
    <xdr:to>
      <xdr:col>46</xdr:col>
      <xdr:colOff>138546</xdr:colOff>
      <xdr:row>8</xdr:row>
      <xdr:rowOff>96159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8F839633-564E-412F-A575-0B3C9C3384F8}"/>
            </a:ext>
          </a:extLst>
        </xdr:cNvPr>
        <xdr:cNvSpPr/>
      </xdr:nvSpPr>
      <xdr:spPr>
        <a:xfrm>
          <a:off x="23758569" y="1435432"/>
          <a:ext cx="688306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RGB_YOLOv11-n_Detection_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(Trial-3)</a:t>
          </a:r>
        </a:p>
      </xdr:txBody>
    </xdr:sp>
    <xdr:clientData/>
  </xdr:twoCellAnchor>
  <xdr:twoCellAnchor>
    <xdr:from>
      <xdr:col>52</xdr:col>
      <xdr:colOff>67130</xdr:colOff>
      <xdr:row>5</xdr:row>
      <xdr:rowOff>39915</xdr:rowOff>
    </xdr:from>
    <xdr:to>
      <xdr:col>63</xdr:col>
      <xdr:colOff>80819</xdr:colOff>
      <xdr:row>8</xdr:row>
      <xdr:rowOff>39915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D7FA6DCB-C857-4315-B5D2-0796465079E5}"/>
            </a:ext>
          </a:extLst>
        </xdr:cNvPr>
        <xdr:cNvSpPr/>
      </xdr:nvSpPr>
      <xdr:spPr>
        <a:xfrm>
          <a:off x="34241675" y="1379188"/>
          <a:ext cx="6860144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RGB_YOLOv11-n_Detection_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(Trial-4)</a:t>
          </a:r>
        </a:p>
      </xdr:txBody>
    </xdr:sp>
    <xdr:clientData/>
  </xdr:twoCellAnchor>
  <xdr:twoCellAnchor>
    <xdr:from>
      <xdr:col>69</xdr:col>
      <xdr:colOff>10885</xdr:colOff>
      <xdr:row>4</xdr:row>
      <xdr:rowOff>155203</xdr:rowOff>
    </xdr:from>
    <xdr:to>
      <xdr:col>82</xdr:col>
      <xdr:colOff>450272</xdr:colOff>
      <xdr:row>7</xdr:row>
      <xdr:rowOff>155203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D6582E8-73AA-4470-8EE5-487F8B2A4973}"/>
            </a:ext>
          </a:extLst>
        </xdr:cNvPr>
        <xdr:cNvSpPr/>
      </xdr:nvSpPr>
      <xdr:spPr>
        <a:xfrm>
          <a:off x="44737976" y="1309748"/>
          <a:ext cx="8394205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RGB_YOLOv11-n_Detection_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(Trial-5)</a:t>
          </a:r>
          <a:r>
            <a:rPr lang="en-MY" sz="3200" baseline="0">
              <a:solidFill>
                <a:schemeClr val="lt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Selected</a:t>
          </a:r>
        </a:p>
      </xdr:txBody>
    </xdr:sp>
    <xdr:clientData/>
  </xdr:twoCellAnchor>
  <xdr:twoCellAnchor>
    <xdr:from>
      <xdr:col>20</xdr:col>
      <xdr:colOff>84963</xdr:colOff>
      <xdr:row>18</xdr:row>
      <xdr:rowOff>71173</xdr:rowOff>
    </xdr:from>
    <xdr:to>
      <xdr:col>22</xdr:col>
      <xdr:colOff>58030</xdr:colOff>
      <xdr:row>20</xdr:row>
      <xdr:rowOff>102629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40093288-6421-4366-A58B-20819EC7575A}"/>
            </a:ext>
          </a:extLst>
        </xdr:cNvPr>
        <xdr:cNvSpPr/>
      </xdr:nvSpPr>
      <xdr:spPr>
        <a:xfrm>
          <a:off x="14299892" y="4135173"/>
          <a:ext cx="1188638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20</xdr:col>
      <xdr:colOff>89806</xdr:colOff>
      <xdr:row>27</xdr:row>
      <xdr:rowOff>76502</xdr:rowOff>
    </xdr:from>
    <xdr:to>
      <xdr:col>22</xdr:col>
      <xdr:colOff>356175</xdr:colOff>
      <xdr:row>29</xdr:row>
      <xdr:rowOff>109994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83E73670-2E30-4B7E-883A-C4633CF6441C}"/>
            </a:ext>
          </a:extLst>
        </xdr:cNvPr>
        <xdr:cNvSpPr/>
      </xdr:nvSpPr>
      <xdr:spPr>
        <a:xfrm>
          <a:off x="14304735" y="6145288"/>
          <a:ext cx="1481940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22</xdr:col>
      <xdr:colOff>97159</xdr:colOff>
      <xdr:row>18</xdr:row>
      <xdr:rowOff>78859</xdr:rowOff>
    </xdr:from>
    <xdr:to>
      <xdr:col>23</xdr:col>
      <xdr:colOff>160725</xdr:colOff>
      <xdr:row>20</xdr:row>
      <xdr:rowOff>94307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84C69A9D-7952-4387-9CD9-7DF5906556DA}"/>
            </a:ext>
          </a:extLst>
        </xdr:cNvPr>
        <xdr:cNvSpPr/>
      </xdr:nvSpPr>
      <xdr:spPr>
        <a:xfrm>
          <a:off x="15527659" y="4142859"/>
          <a:ext cx="671352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22</xdr:col>
      <xdr:colOff>410284</xdr:colOff>
      <xdr:row>27</xdr:row>
      <xdr:rowOff>62845</xdr:rowOff>
    </xdr:from>
    <xdr:to>
      <xdr:col>23</xdr:col>
      <xdr:colOff>473850</xdr:colOff>
      <xdr:row>29</xdr:row>
      <xdr:rowOff>85665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30F60596-BF36-461D-AE2C-6537A47C0394}"/>
            </a:ext>
          </a:extLst>
        </xdr:cNvPr>
        <xdr:cNvSpPr/>
      </xdr:nvSpPr>
      <xdr:spPr>
        <a:xfrm>
          <a:off x="15840784" y="6131631"/>
          <a:ext cx="671352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20</xdr:col>
      <xdr:colOff>121144</xdr:colOff>
      <xdr:row>9</xdr:row>
      <xdr:rowOff>56000</xdr:rowOff>
    </xdr:from>
    <xdr:to>
      <xdr:col>21</xdr:col>
      <xdr:colOff>600398</xdr:colOff>
      <xdr:row>11</xdr:row>
      <xdr:rowOff>87456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7BD85DDD-7BFA-41BC-B7D6-95B18305A888}"/>
            </a:ext>
          </a:extLst>
        </xdr:cNvPr>
        <xdr:cNvSpPr/>
      </xdr:nvSpPr>
      <xdr:spPr>
        <a:xfrm>
          <a:off x="14336073" y="2115214"/>
          <a:ext cx="1087039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22</xdr:col>
      <xdr:colOff>52036</xdr:colOff>
      <xdr:row>9</xdr:row>
      <xdr:rowOff>52335</xdr:rowOff>
    </xdr:from>
    <xdr:to>
      <xdr:col>23</xdr:col>
      <xdr:colOff>115602</xdr:colOff>
      <xdr:row>11</xdr:row>
      <xdr:rowOff>69821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0D47F23A-0676-4759-827F-A925B4DBC38D}"/>
            </a:ext>
          </a:extLst>
        </xdr:cNvPr>
        <xdr:cNvSpPr/>
      </xdr:nvSpPr>
      <xdr:spPr>
        <a:xfrm>
          <a:off x="15482536" y="2111549"/>
          <a:ext cx="671352" cy="38034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54</xdr:col>
      <xdr:colOff>168421</xdr:colOff>
      <xdr:row>18</xdr:row>
      <xdr:rowOff>51215</xdr:rowOff>
    </xdr:from>
    <xdr:to>
      <xdr:col>56</xdr:col>
      <xdr:colOff>77987</xdr:colOff>
      <xdr:row>20</xdr:row>
      <xdr:rowOff>82671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38966711-4BA6-4977-B00E-4F7E33AFFF6C}"/>
            </a:ext>
          </a:extLst>
        </xdr:cNvPr>
        <xdr:cNvSpPr/>
      </xdr:nvSpPr>
      <xdr:spPr>
        <a:xfrm>
          <a:off x="35419992" y="4115215"/>
          <a:ext cx="1188638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54</xdr:col>
      <xdr:colOff>100693</xdr:colOff>
      <xdr:row>27</xdr:row>
      <xdr:rowOff>74687</xdr:rowOff>
    </xdr:from>
    <xdr:to>
      <xdr:col>56</xdr:col>
      <xdr:colOff>303561</xdr:colOff>
      <xdr:row>29</xdr:row>
      <xdr:rowOff>108179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B884911A-ECD8-4A1C-B937-AE75A65F794D}"/>
            </a:ext>
          </a:extLst>
        </xdr:cNvPr>
        <xdr:cNvSpPr/>
      </xdr:nvSpPr>
      <xdr:spPr>
        <a:xfrm>
          <a:off x="35352264" y="6143473"/>
          <a:ext cx="1481940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56</xdr:col>
      <xdr:colOff>153403</xdr:colOff>
      <xdr:row>18</xdr:row>
      <xdr:rowOff>67973</xdr:rowOff>
    </xdr:from>
    <xdr:to>
      <xdr:col>57</xdr:col>
      <xdr:colOff>216969</xdr:colOff>
      <xdr:row>20</xdr:row>
      <xdr:rowOff>83421</xdr:rowOff>
    </xdr:to>
    <xdr:sp macro="" textlink="">
      <xdr:nvSpPr>
        <xdr:cNvPr id="37" name="Rectangle 36">
          <a:extLst>
            <a:ext uri="{FF2B5EF4-FFF2-40B4-BE49-F238E27FC236}">
              <a16:creationId xmlns:a16="http://schemas.microsoft.com/office/drawing/2014/main" id="{1AA6E9FE-1AB0-4B44-97E7-6F36C6DDF599}"/>
            </a:ext>
          </a:extLst>
        </xdr:cNvPr>
        <xdr:cNvSpPr/>
      </xdr:nvSpPr>
      <xdr:spPr>
        <a:xfrm>
          <a:off x="36684046" y="4131973"/>
          <a:ext cx="671352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56</xdr:col>
      <xdr:colOff>375813</xdr:colOff>
      <xdr:row>27</xdr:row>
      <xdr:rowOff>70102</xdr:rowOff>
    </xdr:from>
    <xdr:to>
      <xdr:col>57</xdr:col>
      <xdr:colOff>439379</xdr:colOff>
      <xdr:row>29</xdr:row>
      <xdr:rowOff>92922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C74B90F9-4CBF-4F1A-A044-E833B82AC2EA}"/>
            </a:ext>
          </a:extLst>
        </xdr:cNvPr>
        <xdr:cNvSpPr/>
      </xdr:nvSpPr>
      <xdr:spPr>
        <a:xfrm>
          <a:off x="36906456" y="6138888"/>
          <a:ext cx="671352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54</xdr:col>
      <xdr:colOff>186460</xdr:colOff>
      <xdr:row>9</xdr:row>
      <xdr:rowOff>45113</xdr:rowOff>
    </xdr:from>
    <xdr:to>
      <xdr:col>55</xdr:col>
      <xdr:colOff>602213</xdr:colOff>
      <xdr:row>11</xdr:row>
      <xdr:rowOff>76569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85A8CBF-37A0-4E86-B0BC-392A2484A035}"/>
            </a:ext>
          </a:extLst>
        </xdr:cNvPr>
        <xdr:cNvSpPr/>
      </xdr:nvSpPr>
      <xdr:spPr>
        <a:xfrm>
          <a:off x="35438031" y="2104327"/>
          <a:ext cx="1087039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56</xdr:col>
      <xdr:colOff>62922</xdr:colOff>
      <xdr:row>9</xdr:row>
      <xdr:rowOff>32377</xdr:rowOff>
    </xdr:from>
    <xdr:to>
      <xdr:col>57</xdr:col>
      <xdr:colOff>126488</xdr:colOff>
      <xdr:row>11</xdr:row>
      <xdr:rowOff>49863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C2A9E187-ECC4-47F5-842D-9964FBCA57E7}"/>
            </a:ext>
          </a:extLst>
        </xdr:cNvPr>
        <xdr:cNvSpPr/>
      </xdr:nvSpPr>
      <xdr:spPr>
        <a:xfrm>
          <a:off x="36593565" y="2091591"/>
          <a:ext cx="671352" cy="38034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3</xdr:col>
      <xdr:colOff>140299</xdr:colOff>
      <xdr:row>18</xdr:row>
      <xdr:rowOff>69358</xdr:rowOff>
    </xdr:from>
    <xdr:to>
      <xdr:col>5</xdr:col>
      <xdr:colOff>49866</xdr:colOff>
      <xdr:row>20</xdr:row>
      <xdr:rowOff>100814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11C653F-2766-489D-92AC-8E4CAC82D2E3}"/>
            </a:ext>
          </a:extLst>
        </xdr:cNvPr>
        <xdr:cNvSpPr/>
      </xdr:nvSpPr>
      <xdr:spPr>
        <a:xfrm>
          <a:off x="2208585" y="4133358"/>
          <a:ext cx="1188638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</xdr:col>
      <xdr:colOff>90714</xdr:colOff>
      <xdr:row>27</xdr:row>
      <xdr:rowOff>74688</xdr:rowOff>
    </xdr:from>
    <xdr:to>
      <xdr:col>5</xdr:col>
      <xdr:colOff>293583</xdr:colOff>
      <xdr:row>29</xdr:row>
      <xdr:rowOff>108180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ABDE8093-665A-4635-91DF-F9AD28A3FB39}"/>
            </a:ext>
          </a:extLst>
        </xdr:cNvPr>
        <xdr:cNvSpPr/>
      </xdr:nvSpPr>
      <xdr:spPr>
        <a:xfrm>
          <a:off x="2159000" y="6143474"/>
          <a:ext cx="1481940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5</xdr:col>
      <xdr:colOff>98068</xdr:colOff>
      <xdr:row>18</xdr:row>
      <xdr:rowOff>86116</xdr:rowOff>
    </xdr:from>
    <xdr:to>
      <xdr:col>6</xdr:col>
      <xdr:colOff>161634</xdr:colOff>
      <xdr:row>20</xdr:row>
      <xdr:rowOff>101564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77801435-1B20-4D6E-80B2-8AF85E85BF7A}"/>
            </a:ext>
          </a:extLst>
        </xdr:cNvPr>
        <xdr:cNvSpPr/>
      </xdr:nvSpPr>
      <xdr:spPr>
        <a:xfrm>
          <a:off x="3445425" y="4150116"/>
          <a:ext cx="671352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5</xdr:col>
      <xdr:colOff>347692</xdr:colOff>
      <xdr:row>27</xdr:row>
      <xdr:rowOff>79174</xdr:rowOff>
    </xdr:from>
    <xdr:to>
      <xdr:col>6</xdr:col>
      <xdr:colOff>411258</xdr:colOff>
      <xdr:row>29</xdr:row>
      <xdr:rowOff>101994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A7805353-29B3-42B1-A8F3-BAEF6AEEA6F7}"/>
            </a:ext>
          </a:extLst>
        </xdr:cNvPr>
        <xdr:cNvSpPr/>
      </xdr:nvSpPr>
      <xdr:spPr>
        <a:xfrm>
          <a:off x="3695049" y="6147960"/>
          <a:ext cx="671352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3</xdr:col>
      <xdr:colOff>122052</xdr:colOff>
      <xdr:row>9</xdr:row>
      <xdr:rowOff>63257</xdr:rowOff>
    </xdr:from>
    <xdr:to>
      <xdr:col>4</xdr:col>
      <xdr:colOff>537806</xdr:colOff>
      <xdr:row>11</xdr:row>
      <xdr:rowOff>94713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F5F2AC75-3874-4D17-A738-26E8C42AA55E}"/>
            </a:ext>
          </a:extLst>
        </xdr:cNvPr>
        <xdr:cNvSpPr/>
      </xdr:nvSpPr>
      <xdr:spPr>
        <a:xfrm>
          <a:off x="2190338" y="2122471"/>
          <a:ext cx="1087039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4</xdr:col>
      <xdr:colOff>606301</xdr:colOff>
      <xdr:row>9</xdr:row>
      <xdr:rowOff>68663</xdr:rowOff>
    </xdr:from>
    <xdr:to>
      <xdr:col>6</xdr:col>
      <xdr:colOff>62081</xdr:colOff>
      <xdr:row>11</xdr:row>
      <xdr:rowOff>86149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6B69204E-05A3-42AB-A931-443BD8C894E2}"/>
            </a:ext>
          </a:extLst>
        </xdr:cNvPr>
        <xdr:cNvSpPr/>
      </xdr:nvSpPr>
      <xdr:spPr>
        <a:xfrm>
          <a:off x="3345872" y="2127877"/>
          <a:ext cx="671352" cy="38034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37</xdr:col>
      <xdr:colOff>83149</xdr:colOff>
      <xdr:row>18</xdr:row>
      <xdr:rowOff>87502</xdr:rowOff>
    </xdr:from>
    <xdr:to>
      <xdr:col>39</xdr:col>
      <xdr:colOff>56216</xdr:colOff>
      <xdr:row>20</xdr:row>
      <xdr:rowOff>118958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58F9BE7-60EC-45EF-905D-3BB3BEDB8605}"/>
            </a:ext>
          </a:extLst>
        </xdr:cNvPr>
        <xdr:cNvSpPr/>
      </xdr:nvSpPr>
      <xdr:spPr>
        <a:xfrm>
          <a:off x="24947935" y="4151502"/>
          <a:ext cx="1188638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37</xdr:col>
      <xdr:colOff>87992</xdr:colOff>
      <xdr:row>27</xdr:row>
      <xdr:rowOff>92831</xdr:rowOff>
    </xdr:from>
    <xdr:to>
      <xdr:col>39</xdr:col>
      <xdr:colOff>354361</xdr:colOff>
      <xdr:row>29</xdr:row>
      <xdr:rowOff>126323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2976F100-DE80-4EFD-BE16-E3EC54742C27}"/>
            </a:ext>
          </a:extLst>
        </xdr:cNvPr>
        <xdr:cNvSpPr/>
      </xdr:nvSpPr>
      <xdr:spPr>
        <a:xfrm>
          <a:off x="24952778" y="6161617"/>
          <a:ext cx="1481940" cy="396349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39</xdr:col>
      <xdr:colOff>95345</xdr:colOff>
      <xdr:row>18</xdr:row>
      <xdr:rowOff>95188</xdr:rowOff>
    </xdr:from>
    <xdr:to>
      <xdr:col>40</xdr:col>
      <xdr:colOff>158911</xdr:colOff>
      <xdr:row>20</xdr:row>
      <xdr:rowOff>110636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3CA434AD-6592-4E7F-8222-F056CC1F0A27}"/>
            </a:ext>
          </a:extLst>
        </xdr:cNvPr>
        <xdr:cNvSpPr/>
      </xdr:nvSpPr>
      <xdr:spPr>
        <a:xfrm>
          <a:off x="26175702" y="4159188"/>
          <a:ext cx="671352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39</xdr:col>
      <xdr:colOff>408470</xdr:colOff>
      <xdr:row>27</xdr:row>
      <xdr:rowOff>79174</xdr:rowOff>
    </xdr:from>
    <xdr:to>
      <xdr:col>40</xdr:col>
      <xdr:colOff>472036</xdr:colOff>
      <xdr:row>29</xdr:row>
      <xdr:rowOff>101994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A7D74D63-449D-4B64-A59F-E20E6DC5FD3C}"/>
            </a:ext>
          </a:extLst>
        </xdr:cNvPr>
        <xdr:cNvSpPr/>
      </xdr:nvSpPr>
      <xdr:spPr>
        <a:xfrm>
          <a:off x="26488827" y="6147960"/>
          <a:ext cx="671352" cy="38567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37</xdr:col>
      <xdr:colOff>119330</xdr:colOff>
      <xdr:row>9</xdr:row>
      <xdr:rowOff>72329</xdr:rowOff>
    </xdr:from>
    <xdr:to>
      <xdr:col>38</xdr:col>
      <xdr:colOff>598584</xdr:colOff>
      <xdr:row>11</xdr:row>
      <xdr:rowOff>103785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790DBACD-D4DE-4D64-978F-98C4A01F15DA}"/>
            </a:ext>
          </a:extLst>
        </xdr:cNvPr>
        <xdr:cNvSpPr/>
      </xdr:nvSpPr>
      <xdr:spPr>
        <a:xfrm>
          <a:off x="24984116" y="2131543"/>
          <a:ext cx="1087039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39</xdr:col>
      <xdr:colOff>50222</xdr:colOff>
      <xdr:row>9</xdr:row>
      <xdr:rowOff>68664</xdr:rowOff>
    </xdr:from>
    <xdr:to>
      <xdr:col>40</xdr:col>
      <xdr:colOff>113788</xdr:colOff>
      <xdr:row>11</xdr:row>
      <xdr:rowOff>86150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ADC2B888-06F7-4744-BA48-80C5DBB1DFA3}"/>
            </a:ext>
          </a:extLst>
        </xdr:cNvPr>
        <xdr:cNvSpPr/>
      </xdr:nvSpPr>
      <xdr:spPr>
        <a:xfrm>
          <a:off x="26130579" y="2127878"/>
          <a:ext cx="671352" cy="38034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4</xdr:col>
      <xdr:colOff>130960</xdr:colOff>
      <xdr:row>1</xdr:row>
      <xdr:rowOff>91375</xdr:rowOff>
    </xdr:from>
    <xdr:to>
      <xdr:col>8</xdr:col>
      <xdr:colOff>173182</xdr:colOff>
      <xdr:row>4</xdr:row>
      <xdr:rowOff>91376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C855E810-C808-414A-B090-DF6FE092A4A9}"/>
            </a:ext>
          </a:extLst>
        </xdr:cNvPr>
        <xdr:cNvSpPr/>
      </xdr:nvSpPr>
      <xdr:spPr>
        <a:xfrm>
          <a:off x="2867233" y="691739"/>
          <a:ext cx="248985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(Condition-1)</a:t>
          </a:r>
        </a:p>
      </xdr:txBody>
    </xdr:sp>
    <xdr:clientData/>
  </xdr:twoCellAnchor>
  <xdr:twoCellAnchor>
    <xdr:from>
      <xdr:col>21</xdr:col>
      <xdr:colOff>444997</xdr:colOff>
      <xdr:row>1</xdr:row>
      <xdr:rowOff>139866</xdr:rowOff>
    </xdr:from>
    <xdr:to>
      <xdr:col>25</xdr:col>
      <xdr:colOff>487218</xdr:colOff>
      <xdr:row>4</xdr:row>
      <xdr:rowOff>139867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99AD5D27-0381-4A89-AE44-FC4CB69AB0B0}"/>
            </a:ext>
          </a:extLst>
        </xdr:cNvPr>
        <xdr:cNvSpPr/>
      </xdr:nvSpPr>
      <xdr:spPr>
        <a:xfrm>
          <a:off x="15315542" y="740230"/>
          <a:ext cx="248985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(Condition-2)</a:t>
          </a:r>
        </a:p>
      </xdr:txBody>
    </xdr:sp>
    <xdr:clientData/>
  </xdr:twoCellAnchor>
  <xdr:twoCellAnchor>
    <xdr:from>
      <xdr:col>38</xdr:col>
      <xdr:colOff>528124</xdr:colOff>
      <xdr:row>1</xdr:row>
      <xdr:rowOff>165266</xdr:rowOff>
    </xdr:from>
    <xdr:to>
      <xdr:col>42</xdr:col>
      <xdr:colOff>570345</xdr:colOff>
      <xdr:row>4</xdr:row>
      <xdr:rowOff>165267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329A5C9-3567-4D20-899D-254318D85679}"/>
            </a:ext>
          </a:extLst>
        </xdr:cNvPr>
        <xdr:cNvSpPr/>
      </xdr:nvSpPr>
      <xdr:spPr>
        <a:xfrm>
          <a:off x="26089760" y="765630"/>
          <a:ext cx="248985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(Condition-3)</a:t>
          </a:r>
        </a:p>
      </xdr:txBody>
    </xdr:sp>
    <xdr:clientData/>
  </xdr:twoCellAnchor>
  <xdr:twoCellAnchor>
    <xdr:from>
      <xdr:col>55</xdr:col>
      <xdr:colOff>565069</xdr:colOff>
      <xdr:row>1</xdr:row>
      <xdr:rowOff>98303</xdr:rowOff>
    </xdr:from>
    <xdr:to>
      <xdr:col>60</xdr:col>
      <xdr:colOff>184728</xdr:colOff>
      <xdr:row>4</xdr:row>
      <xdr:rowOff>98304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6859393E-987F-4E61-9437-4F57452F56AB}"/>
            </a:ext>
          </a:extLst>
        </xdr:cNvPr>
        <xdr:cNvSpPr/>
      </xdr:nvSpPr>
      <xdr:spPr>
        <a:xfrm>
          <a:off x="36633069" y="698667"/>
          <a:ext cx="2679204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(Condition-4)</a:t>
          </a:r>
        </a:p>
      </xdr:txBody>
    </xdr:sp>
    <xdr:clientData/>
  </xdr:twoCellAnchor>
  <xdr:twoCellAnchor>
    <xdr:from>
      <xdr:col>73</xdr:col>
      <xdr:colOff>590470</xdr:colOff>
      <xdr:row>1</xdr:row>
      <xdr:rowOff>8248</xdr:rowOff>
    </xdr:from>
    <xdr:to>
      <xdr:col>78</xdr:col>
      <xdr:colOff>210128</xdr:colOff>
      <xdr:row>4</xdr:row>
      <xdr:rowOff>8249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FF64BD40-EDF7-47CC-8F19-9BF415061E1B}"/>
            </a:ext>
          </a:extLst>
        </xdr:cNvPr>
        <xdr:cNvSpPr/>
      </xdr:nvSpPr>
      <xdr:spPr>
        <a:xfrm>
          <a:off x="47765197" y="608612"/>
          <a:ext cx="2679204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(Condition-5)</a:t>
          </a:r>
        </a:p>
      </xdr:txBody>
    </xdr:sp>
    <xdr:clientData/>
  </xdr:twoCellAnchor>
  <xdr:twoCellAnchor>
    <xdr:from>
      <xdr:col>1</xdr:col>
      <xdr:colOff>5659</xdr:colOff>
      <xdr:row>46</xdr:row>
      <xdr:rowOff>51013</xdr:rowOff>
    </xdr:from>
    <xdr:to>
      <xdr:col>4</xdr:col>
      <xdr:colOff>279400</xdr:colOff>
      <xdr:row>48</xdr:row>
      <xdr:rowOff>86232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A3818B07-921B-461E-9C38-A1A755ACC1ED}"/>
            </a:ext>
          </a:extLst>
        </xdr:cNvPr>
        <xdr:cNvSpPr/>
      </xdr:nvSpPr>
      <xdr:spPr>
        <a:xfrm>
          <a:off x="618247" y="10338013"/>
          <a:ext cx="2395388" cy="40874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C.R</a:t>
          </a:r>
          <a:endParaRPr lang="en-MY" sz="2000"/>
        </a:p>
      </xdr:txBody>
    </xdr:sp>
    <xdr:clientData/>
  </xdr:twoCellAnchor>
  <xdr:twoCellAnchor>
    <xdr:from>
      <xdr:col>4</xdr:col>
      <xdr:colOff>568941</xdr:colOff>
      <xdr:row>36</xdr:row>
      <xdr:rowOff>68942</xdr:rowOff>
    </xdr:from>
    <xdr:to>
      <xdr:col>8</xdr:col>
      <xdr:colOff>513976</xdr:colOff>
      <xdr:row>38</xdr:row>
      <xdr:rowOff>104161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78D0169F-54B5-4202-83F7-9A557E1C9153}"/>
            </a:ext>
          </a:extLst>
        </xdr:cNvPr>
        <xdr:cNvSpPr/>
      </xdr:nvSpPr>
      <xdr:spPr>
        <a:xfrm>
          <a:off x="3303176" y="8309001"/>
          <a:ext cx="2395388" cy="40874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C.V</a:t>
          </a:r>
          <a:endParaRPr lang="en-MY" sz="2000"/>
        </a:p>
      </xdr:txBody>
    </xdr:sp>
    <xdr:clientData/>
  </xdr:twoCellAnchor>
  <xdr:twoCellAnchor>
    <xdr:from>
      <xdr:col>5</xdr:col>
      <xdr:colOff>26575</xdr:colOff>
      <xdr:row>46</xdr:row>
      <xdr:rowOff>42048</xdr:rowOff>
    </xdr:from>
    <xdr:to>
      <xdr:col>8</xdr:col>
      <xdr:colOff>579396</xdr:colOff>
      <xdr:row>48</xdr:row>
      <xdr:rowOff>77267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F50316E7-CD33-4A64-A1CF-77E501C6F37C}"/>
            </a:ext>
          </a:extLst>
        </xdr:cNvPr>
        <xdr:cNvSpPr/>
      </xdr:nvSpPr>
      <xdr:spPr>
        <a:xfrm>
          <a:off x="3373932" y="10120405"/>
          <a:ext cx="237617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S.P</a:t>
          </a:r>
          <a:endParaRPr lang="en-MY" sz="2000"/>
        </a:p>
      </xdr:txBody>
    </xdr:sp>
    <xdr:clientData/>
  </xdr:twoCellAnchor>
  <xdr:twoCellAnchor>
    <xdr:from>
      <xdr:col>21</xdr:col>
      <xdr:colOff>599890</xdr:colOff>
      <xdr:row>36</xdr:row>
      <xdr:rowOff>44930</xdr:rowOff>
    </xdr:from>
    <xdr:to>
      <xdr:col>25</xdr:col>
      <xdr:colOff>544925</xdr:colOff>
      <xdr:row>38</xdr:row>
      <xdr:rowOff>80149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3856B26-4A71-4CDA-AD94-0DDECD937DC8}"/>
            </a:ext>
          </a:extLst>
        </xdr:cNvPr>
        <xdr:cNvSpPr/>
      </xdr:nvSpPr>
      <xdr:spPr>
        <a:xfrm>
          <a:off x="15422604" y="8118501"/>
          <a:ext cx="2376178" cy="398077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C.V</a:t>
          </a:r>
          <a:endParaRPr lang="en-MY" sz="2000"/>
        </a:p>
      </xdr:txBody>
    </xdr:sp>
    <xdr:clientData/>
  </xdr:twoCellAnchor>
  <xdr:twoCellAnchor>
    <xdr:from>
      <xdr:col>17</xdr:col>
      <xdr:colOff>586231</xdr:colOff>
      <xdr:row>46</xdr:row>
      <xdr:rowOff>41941</xdr:rowOff>
    </xdr:from>
    <xdr:to>
      <xdr:col>21</xdr:col>
      <xdr:colOff>408215</xdr:colOff>
      <xdr:row>48</xdr:row>
      <xdr:rowOff>77160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813C149B-5682-4238-B9C1-AD34ED51F80E}"/>
            </a:ext>
          </a:extLst>
        </xdr:cNvPr>
        <xdr:cNvSpPr/>
      </xdr:nvSpPr>
      <xdr:spPr>
        <a:xfrm>
          <a:off x="12868945" y="10120298"/>
          <a:ext cx="2361984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C.R</a:t>
          </a:r>
          <a:endParaRPr lang="en-MY" sz="2000"/>
        </a:p>
      </xdr:txBody>
    </xdr:sp>
    <xdr:clientData/>
  </xdr:twoCellAnchor>
  <xdr:twoCellAnchor>
    <xdr:from>
      <xdr:col>22</xdr:col>
      <xdr:colOff>26575</xdr:colOff>
      <xdr:row>46</xdr:row>
      <xdr:rowOff>42048</xdr:rowOff>
    </xdr:from>
    <xdr:to>
      <xdr:col>25</xdr:col>
      <xdr:colOff>579396</xdr:colOff>
      <xdr:row>48</xdr:row>
      <xdr:rowOff>77267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5BAD3CB2-16BE-4974-A880-B398B60B06F0}"/>
            </a:ext>
          </a:extLst>
        </xdr:cNvPr>
        <xdr:cNvSpPr/>
      </xdr:nvSpPr>
      <xdr:spPr>
        <a:xfrm>
          <a:off x="3373932" y="10120405"/>
          <a:ext cx="237617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S.P</a:t>
          </a:r>
          <a:endParaRPr lang="en-MY" sz="2000"/>
        </a:p>
      </xdr:txBody>
    </xdr:sp>
    <xdr:clientData/>
  </xdr:twoCellAnchor>
  <xdr:twoCellAnchor>
    <xdr:from>
      <xdr:col>35</xdr:col>
      <xdr:colOff>5659</xdr:colOff>
      <xdr:row>46</xdr:row>
      <xdr:rowOff>51013</xdr:rowOff>
    </xdr:from>
    <xdr:to>
      <xdr:col>38</xdr:col>
      <xdr:colOff>279400</xdr:colOff>
      <xdr:row>48</xdr:row>
      <xdr:rowOff>86232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443F9A99-3168-495C-957B-4FE92C56CC75}"/>
            </a:ext>
          </a:extLst>
        </xdr:cNvPr>
        <xdr:cNvSpPr/>
      </xdr:nvSpPr>
      <xdr:spPr>
        <a:xfrm>
          <a:off x="12896159" y="10129370"/>
          <a:ext cx="2205955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C.R</a:t>
          </a:r>
          <a:endParaRPr lang="en-MY" sz="2000"/>
        </a:p>
      </xdr:txBody>
    </xdr:sp>
    <xdr:clientData/>
  </xdr:twoCellAnchor>
  <xdr:twoCellAnchor>
    <xdr:from>
      <xdr:col>39</xdr:col>
      <xdr:colOff>26575</xdr:colOff>
      <xdr:row>46</xdr:row>
      <xdr:rowOff>42048</xdr:rowOff>
    </xdr:from>
    <xdr:to>
      <xdr:col>42</xdr:col>
      <xdr:colOff>579396</xdr:colOff>
      <xdr:row>48</xdr:row>
      <xdr:rowOff>77267</xdr:rowOff>
    </xdr:to>
    <xdr:sp macro="" textlink="">
      <xdr:nvSpPr>
        <xdr:cNvPr id="59" name="Rectangle 58">
          <a:extLst>
            <a:ext uri="{FF2B5EF4-FFF2-40B4-BE49-F238E27FC236}">
              <a16:creationId xmlns:a16="http://schemas.microsoft.com/office/drawing/2014/main" id="{A98A0BA2-41A7-4846-9699-A869A6747D1A}"/>
            </a:ext>
          </a:extLst>
        </xdr:cNvPr>
        <xdr:cNvSpPr/>
      </xdr:nvSpPr>
      <xdr:spPr>
        <a:xfrm>
          <a:off x="15457075" y="10120405"/>
          <a:ext cx="237617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S.P</a:t>
          </a:r>
          <a:endParaRPr lang="en-MY" sz="2000"/>
        </a:p>
      </xdr:txBody>
    </xdr:sp>
    <xdr:clientData/>
  </xdr:twoCellAnchor>
  <xdr:twoCellAnchor>
    <xdr:from>
      <xdr:col>51</xdr:col>
      <xdr:colOff>422945</xdr:colOff>
      <xdr:row>46</xdr:row>
      <xdr:rowOff>5655</xdr:rowOff>
    </xdr:from>
    <xdr:to>
      <xdr:col>55</xdr:col>
      <xdr:colOff>381000</xdr:colOff>
      <xdr:row>48</xdr:row>
      <xdr:rowOff>40874</xdr:rowOff>
    </xdr:to>
    <xdr:sp macro="" textlink="">
      <xdr:nvSpPr>
        <xdr:cNvPr id="60" name="Rectangle 59">
          <a:extLst>
            <a:ext uri="{FF2B5EF4-FFF2-40B4-BE49-F238E27FC236}">
              <a16:creationId xmlns:a16="http://schemas.microsoft.com/office/drawing/2014/main" id="{17ED4DA7-F4D0-4D87-A6F3-80B397A518C6}"/>
            </a:ext>
          </a:extLst>
        </xdr:cNvPr>
        <xdr:cNvSpPr/>
      </xdr:nvSpPr>
      <xdr:spPr>
        <a:xfrm>
          <a:off x="33851159" y="10084012"/>
          <a:ext cx="245269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C.R</a:t>
          </a:r>
          <a:endParaRPr lang="en-MY" sz="2000"/>
        </a:p>
      </xdr:txBody>
    </xdr:sp>
    <xdr:clientData/>
  </xdr:twoCellAnchor>
  <xdr:twoCellAnchor>
    <xdr:from>
      <xdr:col>56</xdr:col>
      <xdr:colOff>26575</xdr:colOff>
      <xdr:row>46</xdr:row>
      <xdr:rowOff>42048</xdr:rowOff>
    </xdr:from>
    <xdr:to>
      <xdr:col>59</xdr:col>
      <xdr:colOff>579396</xdr:colOff>
      <xdr:row>48</xdr:row>
      <xdr:rowOff>77267</xdr:rowOff>
    </xdr:to>
    <xdr:sp macro="" textlink="">
      <xdr:nvSpPr>
        <xdr:cNvPr id="61" name="Rectangle 60">
          <a:extLst>
            <a:ext uri="{FF2B5EF4-FFF2-40B4-BE49-F238E27FC236}">
              <a16:creationId xmlns:a16="http://schemas.microsoft.com/office/drawing/2014/main" id="{E7247BC9-6DAD-4CB3-9C53-78CC43C5B355}"/>
            </a:ext>
          </a:extLst>
        </xdr:cNvPr>
        <xdr:cNvSpPr/>
      </xdr:nvSpPr>
      <xdr:spPr>
        <a:xfrm>
          <a:off x="26106932" y="10120405"/>
          <a:ext cx="237617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S.P</a:t>
          </a:r>
          <a:endParaRPr lang="en-MY" sz="2000"/>
        </a:p>
      </xdr:txBody>
    </xdr:sp>
    <xdr:clientData/>
  </xdr:twoCellAnchor>
  <xdr:twoCellAnchor>
    <xdr:from>
      <xdr:col>69</xdr:col>
      <xdr:colOff>5659</xdr:colOff>
      <xdr:row>46</xdr:row>
      <xdr:rowOff>51013</xdr:rowOff>
    </xdr:from>
    <xdr:to>
      <xdr:col>72</xdr:col>
      <xdr:colOff>571500</xdr:colOff>
      <xdr:row>48</xdr:row>
      <xdr:rowOff>86232</xdr:rowOff>
    </xdr:to>
    <xdr:sp macro="" textlink="">
      <xdr:nvSpPr>
        <xdr:cNvPr id="62" name="Rectangle 61">
          <a:extLst>
            <a:ext uri="{FF2B5EF4-FFF2-40B4-BE49-F238E27FC236}">
              <a16:creationId xmlns:a16="http://schemas.microsoft.com/office/drawing/2014/main" id="{CB2F4A70-9FDC-4A81-B5CB-3D2999926557}"/>
            </a:ext>
          </a:extLst>
        </xdr:cNvPr>
        <xdr:cNvSpPr/>
      </xdr:nvSpPr>
      <xdr:spPr>
        <a:xfrm>
          <a:off x="44537302" y="10129370"/>
          <a:ext cx="238919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C.R</a:t>
          </a:r>
          <a:endParaRPr lang="en-MY" sz="2000"/>
        </a:p>
      </xdr:txBody>
    </xdr:sp>
    <xdr:clientData/>
  </xdr:twoCellAnchor>
  <xdr:twoCellAnchor>
    <xdr:from>
      <xdr:col>73</xdr:col>
      <xdr:colOff>26575</xdr:colOff>
      <xdr:row>46</xdr:row>
      <xdr:rowOff>42048</xdr:rowOff>
    </xdr:from>
    <xdr:to>
      <xdr:col>76</xdr:col>
      <xdr:colOff>579396</xdr:colOff>
      <xdr:row>48</xdr:row>
      <xdr:rowOff>77267</xdr:rowOff>
    </xdr:to>
    <xdr:sp macro="" textlink="">
      <xdr:nvSpPr>
        <xdr:cNvPr id="63" name="Rectangle 62">
          <a:extLst>
            <a:ext uri="{FF2B5EF4-FFF2-40B4-BE49-F238E27FC236}">
              <a16:creationId xmlns:a16="http://schemas.microsoft.com/office/drawing/2014/main" id="{28E9AF23-F8F7-47E3-8C2A-79479A0F1ECB}"/>
            </a:ext>
          </a:extLst>
        </xdr:cNvPr>
        <xdr:cNvSpPr/>
      </xdr:nvSpPr>
      <xdr:spPr>
        <a:xfrm>
          <a:off x="36557218" y="10120405"/>
          <a:ext cx="2376178" cy="39807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S.P</a:t>
          </a:r>
          <a:endParaRPr lang="en-MY" sz="2000"/>
        </a:p>
      </xdr:txBody>
    </xdr:sp>
    <xdr:clientData/>
  </xdr:twoCellAnchor>
  <xdr:twoCellAnchor>
    <xdr:from>
      <xdr:col>39</xdr:col>
      <xdr:colOff>0</xdr:colOff>
      <xdr:row>36</xdr:row>
      <xdr:rowOff>81643</xdr:rowOff>
    </xdr:from>
    <xdr:to>
      <xdr:col>42</xdr:col>
      <xdr:colOff>552821</xdr:colOff>
      <xdr:row>38</xdr:row>
      <xdr:rowOff>116862</xdr:rowOff>
    </xdr:to>
    <xdr:sp macro="" textlink="">
      <xdr:nvSpPr>
        <xdr:cNvPr id="64" name="Rectangle 63">
          <a:extLst>
            <a:ext uri="{FF2B5EF4-FFF2-40B4-BE49-F238E27FC236}">
              <a16:creationId xmlns:a16="http://schemas.microsoft.com/office/drawing/2014/main" id="{B66BDC0B-9329-4A84-A96E-85C2D6BBEF5D}"/>
            </a:ext>
          </a:extLst>
        </xdr:cNvPr>
        <xdr:cNvSpPr/>
      </xdr:nvSpPr>
      <xdr:spPr>
        <a:xfrm>
          <a:off x="26080357" y="8155214"/>
          <a:ext cx="2376178" cy="398077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C.V</a:t>
          </a:r>
          <a:endParaRPr lang="en-MY" sz="2000"/>
        </a:p>
      </xdr:txBody>
    </xdr:sp>
    <xdr:clientData/>
  </xdr:twoCellAnchor>
  <xdr:twoCellAnchor>
    <xdr:from>
      <xdr:col>56</xdr:col>
      <xdr:colOff>0</xdr:colOff>
      <xdr:row>36</xdr:row>
      <xdr:rowOff>0</xdr:rowOff>
    </xdr:from>
    <xdr:to>
      <xdr:col>59</xdr:col>
      <xdr:colOff>552821</xdr:colOff>
      <xdr:row>38</xdr:row>
      <xdr:rowOff>35219</xdr:rowOff>
    </xdr:to>
    <xdr:sp macro="" textlink="">
      <xdr:nvSpPr>
        <xdr:cNvPr id="65" name="Rectangle 64">
          <a:extLst>
            <a:ext uri="{FF2B5EF4-FFF2-40B4-BE49-F238E27FC236}">
              <a16:creationId xmlns:a16="http://schemas.microsoft.com/office/drawing/2014/main" id="{B60359AF-9A9C-486C-A8DD-64F4714805AB}"/>
            </a:ext>
          </a:extLst>
        </xdr:cNvPr>
        <xdr:cNvSpPr/>
      </xdr:nvSpPr>
      <xdr:spPr>
        <a:xfrm>
          <a:off x="36530643" y="8073571"/>
          <a:ext cx="2376178" cy="398077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C.V</a:t>
          </a:r>
          <a:endParaRPr lang="en-MY" sz="2000"/>
        </a:p>
      </xdr:txBody>
    </xdr:sp>
    <xdr:clientData/>
  </xdr:twoCellAnchor>
  <xdr:twoCellAnchor>
    <xdr:from>
      <xdr:col>73</xdr:col>
      <xdr:colOff>0</xdr:colOff>
      <xdr:row>36</xdr:row>
      <xdr:rowOff>0</xdr:rowOff>
    </xdr:from>
    <xdr:to>
      <xdr:col>76</xdr:col>
      <xdr:colOff>552821</xdr:colOff>
      <xdr:row>38</xdr:row>
      <xdr:rowOff>35219</xdr:rowOff>
    </xdr:to>
    <xdr:sp macro="" textlink="">
      <xdr:nvSpPr>
        <xdr:cNvPr id="66" name="Rectangle 65">
          <a:extLst>
            <a:ext uri="{FF2B5EF4-FFF2-40B4-BE49-F238E27FC236}">
              <a16:creationId xmlns:a16="http://schemas.microsoft.com/office/drawing/2014/main" id="{07B1D83D-7555-4D3D-98E4-5E02B5BB345A}"/>
            </a:ext>
          </a:extLst>
        </xdr:cNvPr>
        <xdr:cNvSpPr/>
      </xdr:nvSpPr>
      <xdr:spPr>
        <a:xfrm>
          <a:off x="46962786" y="8073571"/>
          <a:ext cx="2376178" cy="398077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 C.V</a:t>
          </a:r>
          <a:endParaRPr lang="en-MY" sz="20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128774</xdr:colOff>
      <xdr:row>7</xdr:row>
      <xdr:rowOff>160403</xdr:rowOff>
    </xdr:from>
    <xdr:to>
      <xdr:col>5</xdr:col>
      <xdr:colOff>608027</xdr:colOff>
      <xdr:row>10</xdr:row>
      <xdr:rowOff>10431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3F736E34-AA5C-4D8D-B764-6BFFD7321DB1}"/>
            </a:ext>
          </a:extLst>
        </xdr:cNvPr>
        <xdr:cNvSpPr/>
      </xdr:nvSpPr>
      <xdr:spPr>
        <a:xfrm>
          <a:off x="3206656" y="952285"/>
          <a:ext cx="1091842" cy="41032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4</xdr:col>
      <xdr:colOff>4227</xdr:colOff>
      <xdr:row>17</xdr:row>
      <xdr:rowOff>43958</xdr:rowOff>
    </xdr:from>
    <xdr:to>
      <xdr:col>5</xdr:col>
      <xdr:colOff>585079</xdr:colOff>
      <xdr:row>19</xdr:row>
      <xdr:rowOff>75414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1B769E7B-CBB5-4716-87D4-45DD58F42F00}"/>
            </a:ext>
          </a:extLst>
        </xdr:cNvPr>
        <xdr:cNvSpPr/>
      </xdr:nvSpPr>
      <xdr:spPr>
        <a:xfrm>
          <a:off x="2626777" y="3409458"/>
          <a:ext cx="1190452" cy="39975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</xdr:col>
      <xdr:colOff>544285</xdr:colOff>
      <xdr:row>26</xdr:row>
      <xdr:rowOff>67430</xdr:rowOff>
    </xdr:from>
    <xdr:to>
      <xdr:col>6</xdr:col>
      <xdr:colOff>202868</xdr:colOff>
      <xdr:row>28</xdr:row>
      <xdr:rowOff>100922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263C348-0621-4BCD-91E3-8EBE89497923}"/>
            </a:ext>
          </a:extLst>
        </xdr:cNvPr>
        <xdr:cNvSpPr/>
      </xdr:nvSpPr>
      <xdr:spPr>
        <a:xfrm>
          <a:off x="2557235" y="5458580"/>
          <a:ext cx="1487383" cy="40179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6</xdr:col>
      <xdr:colOff>66263</xdr:colOff>
      <xdr:row>7</xdr:row>
      <xdr:rowOff>179829</xdr:rowOff>
    </xdr:from>
    <xdr:to>
      <xdr:col>7</xdr:col>
      <xdr:colOff>129829</xdr:colOff>
      <xdr:row>10</xdr:row>
      <xdr:rowOff>15887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2C1BB5B9-5EDD-40D8-9DBD-5ADD5073395C}"/>
            </a:ext>
          </a:extLst>
        </xdr:cNvPr>
        <xdr:cNvSpPr/>
      </xdr:nvSpPr>
      <xdr:spPr>
        <a:xfrm>
          <a:off x="4369322" y="971711"/>
          <a:ext cx="676154" cy="39635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6</xdr:col>
      <xdr:colOff>52710</xdr:colOff>
      <xdr:row>17</xdr:row>
      <xdr:rowOff>60716</xdr:rowOff>
    </xdr:from>
    <xdr:to>
      <xdr:col>7</xdr:col>
      <xdr:colOff>116276</xdr:colOff>
      <xdr:row>19</xdr:row>
      <xdr:rowOff>76164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9BAE8048-A7E7-4B91-A380-87272F8FC301}"/>
            </a:ext>
          </a:extLst>
        </xdr:cNvPr>
        <xdr:cNvSpPr/>
      </xdr:nvSpPr>
      <xdr:spPr>
        <a:xfrm>
          <a:off x="3894460" y="3426216"/>
          <a:ext cx="673166" cy="38374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6</xdr:col>
      <xdr:colOff>275120</xdr:colOff>
      <xdr:row>26</xdr:row>
      <xdr:rowOff>62845</xdr:rowOff>
    </xdr:from>
    <xdr:to>
      <xdr:col>7</xdr:col>
      <xdr:colOff>338686</xdr:colOff>
      <xdr:row>28</xdr:row>
      <xdr:rowOff>85665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4BB26FC2-6D6D-4741-BD0E-107F95DF252E}"/>
            </a:ext>
          </a:extLst>
        </xdr:cNvPr>
        <xdr:cNvSpPr/>
      </xdr:nvSpPr>
      <xdr:spPr>
        <a:xfrm>
          <a:off x="4116870" y="5453995"/>
          <a:ext cx="673166" cy="39112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10</xdr:col>
      <xdr:colOff>20066</xdr:colOff>
      <xdr:row>35</xdr:row>
      <xdr:rowOff>39273</xdr:rowOff>
    </xdr:from>
    <xdr:to>
      <xdr:col>14</xdr:col>
      <xdr:colOff>208643</xdr:colOff>
      <xdr:row>37</xdr:row>
      <xdr:rowOff>90713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F721000F-B191-4504-BCD3-72E4F002F18C}"/>
            </a:ext>
          </a:extLst>
        </xdr:cNvPr>
        <xdr:cNvSpPr/>
      </xdr:nvSpPr>
      <xdr:spPr>
        <a:xfrm>
          <a:off x="6732923" y="7024273"/>
          <a:ext cx="3000720" cy="414297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0</xdr:col>
      <xdr:colOff>592846</xdr:colOff>
      <xdr:row>35</xdr:row>
      <xdr:rowOff>64566</xdr:rowOff>
    </xdr:from>
    <xdr:to>
      <xdr:col>3</xdr:col>
      <xdr:colOff>127000</xdr:colOff>
      <xdr:row>37</xdr:row>
      <xdr:rowOff>127000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230065FE-16C4-41DD-AEDC-7D57860127F7}"/>
            </a:ext>
          </a:extLst>
        </xdr:cNvPr>
        <xdr:cNvSpPr/>
      </xdr:nvSpPr>
      <xdr:spPr>
        <a:xfrm>
          <a:off x="592846" y="7049566"/>
          <a:ext cx="1992511" cy="42529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21</xdr:col>
      <xdr:colOff>4227</xdr:colOff>
      <xdr:row>17</xdr:row>
      <xdr:rowOff>43958</xdr:rowOff>
    </xdr:from>
    <xdr:to>
      <xdr:col>22</xdr:col>
      <xdr:colOff>585079</xdr:colOff>
      <xdr:row>19</xdr:row>
      <xdr:rowOff>75414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857BC09-91C3-4D65-B8D9-04D412605A94}"/>
            </a:ext>
          </a:extLst>
        </xdr:cNvPr>
        <xdr:cNvSpPr/>
      </xdr:nvSpPr>
      <xdr:spPr>
        <a:xfrm>
          <a:off x="3075318" y="3045776"/>
          <a:ext cx="1192761" cy="40091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20</xdr:col>
      <xdr:colOff>544285</xdr:colOff>
      <xdr:row>26</xdr:row>
      <xdr:rowOff>67430</xdr:rowOff>
    </xdr:from>
    <xdr:to>
      <xdr:col>23</xdr:col>
      <xdr:colOff>202868</xdr:colOff>
      <xdr:row>28</xdr:row>
      <xdr:rowOff>100922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AFB864A6-BA33-4E08-AE80-18D8F983B662}"/>
            </a:ext>
          </a:extLst>
        </xdr:cNvPr>
        <xdr:cNvSpPr/>
      </xdr:nvSpPr>
      <xdr:spPr>
        <a:xfrm>
          <a:off x="3003467" y="5101248"/>
          <a:ext cx="1494310" cy="40294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23</xdr:col>
      <xdr:colOff>52710</xdr:colOff>
      <xdr:row>17</xdr:row>
      <xdr:rowOff>60716</xdr:rowOff>
    </xdr:from>
    <xdr:to>
      <xdr:col>24</xdr:col>
      <xdr:colOff>116276</xdr:colOff>
      <xdr:row>19</xdr:row>
      <xdr:rowOff>76164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2F2BDF8E-8563-4898-BBA1-B2C1AECC1D4E}"/>
            </a:ext>
          </a:extLst>
        </xdr:cNvPr>
        <xdr:cNvSpPr/>
      </xdr:nvSpPr>
      <xdr:spPr>
        <a:xfrm>
          <a:off x="4347619" y="3062534"/>
          <a:ext cx="675475" cy="38490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23</xdr:col>
      <xdr:colOff>275120</xdr:colOff>
      <xdr:row>26</xdr:row>
      <xdr:rowOff>62845</xdr:rowOff>
    </xdr:from>
    <xdr:to>
      <xdr:col>24</xdr:col>
      <xdr:colOff>338686</xdr:colOff>
      <xdr:row>28</xdr:row>
      <xdr:rowOff>85665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572A360F-4CFA-475F-A24D-FA028666236E}"/>
            </a:ext>
          </a:extLst>
        </xdr:cNvPr>
        <xdr:cNvSpPr/>
      </xdr:nvSpPr>
      <xdr:spPr>
        <a:xfrm>
          <a:off x="4570029" y="5096663"/>
          <a:ext cx="675475" cy="39227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27</xdr:col>
      <xdr:colOff>5123</xdr:colOff>
      <xdr:row>35</xdr:row>
      <xdr:rowOff>78227</xdr:rowOff>
    </xdr:from>
    <xdr:to>
      <xdr:col>31</xdr:col>
      <xdr:colOff>388469</xdr:colOff>
      <xdr:row>37</xdr:row>
      <xdr:rowOff>104588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7822E119-2967-47E4-B755-F31F175F1D90}"/>
            </a:ext>
          </a:extLst>
        </xdr:cNvPr>
        <xdr:cNvSpPr/>
      </xdr:nvSpPr>
      <xdr:spPr>
        <a:xfrm>
          <a:off x="18681594" y="7197698"/>
          <a:ext cx="2960699" cy="399890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18</xdr:col>
      <xdr:colOff>2669</xdr:colOff>
      <xdr:row>35</xdr:row>
      <xdr:rowOff>34684</xdr:rowOff>
    </xdr:from>
    <xdr:to>
      <xdr:col>21</xdr:col>
      <xdr:colOff>136071</xdr:colOff>
      <xdr:row>37</xdr:row>
      <xdr:rowOff>89647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1BCDB64B-349A-4A1B-B503-C222483E766D}"/>
            </a:ext>
          </a:extLst>
        </xdr:cNvPr>
        <xdr:cNvSpPr/>
      </xdr:nvSpPr>
      <xdr:spPr>
        <a:xfrm>
          <a:off x="13092740" y="7019684"/>
          <a:ext cx="1956760" cy="417820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38</xdr:col>
      <xdr:colOff>4227</xdr:colOff>
      <xdr:row>17</xdr:row>
      <xdr:rowOff>43958</xdr:rowOff>
    </xdr:from>
    <xdr:to>
      <xdr:col>39</xdr:col>
      <xdr:colOff>585079</xdr:colOff>
      <xdr:row>19</xdr:row>
      <xdr:rowOff>75414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401BED5B-7A8F-48DE-B481-A562F68B7973}"/>
            </a:ext>
          </a:extLst>
        </xdr:cNvPr>
        <xdr:cNvSpPr/>
      </xdr:nvSpPr>
      <xdr:spPr>
        <a:xfrm>
          <a:off x="3075318" y="3045776"/>
          <a:ext cx="1192761" cy="40091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37</xdr:col>
      <xdr:colOff>544285</xdr:colOff>
      <xdr:row>26</xdr:row>
      <xdr:rowOff>67430</xdr:rowOff>
    </xdr:from>
    <xdr:to>
      <xdr:col>40</xdr:col>
      <xdr:colOff>202868</xdr:colOff>
      <xdr:row>28</xdr:row>
      <xdr:rowOff>100922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4A6C9650-21DF-41A8-B95C-3B313DA8F1D6}"/>
            </a:ext>
          </a:extLst>
        </xdr:cNvPr>
        <xdr:cNvSpPr/>
      </xdr:nvSpPr>
      <xdr:spPr>
        <a:xfrm>
          <a:off x="3003467" y="5101248"/>
          <a:ext cx="1494310" cy="40294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40</xdr:col>
      <xdr:colOff>52710</xdr:colOff>
      <xdr:row>17</xdr:row>
      <xdr:rowOff>60716</xdr:rowOff>
    </xdr:from>
    <xdr:to>
      <xdr:col>41</xdr:col>
      <xdr:colOff>116276</xdr:colOff>
      <xdr:row>19</xdr:row>
      <xdr:rowOff>76164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BC30CD1A-1DCB-4798-AF91-D88BE7CAAEBE}"/>
            </a:ext>
          </a:extLst>
        </xdr:cNvPr>
        <xdr:cNvSpPr/>
      </xdr:nvSpPr>
      <xdr:spPr>
        <a:xfrm>
          <a:off x="4347619" y="3062534"/>
          <a:ext cx="675475" cy="38490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40</xdr:col>
      <xdr:colOff>275120</xdr:colOff>
      <xdr:row>26</xdr:row>
      <xdr:rowOff>62845</xdr:rowOff>
    </xdr:from>
    <xdr:to>
      <xdr:col>41</xdr:col>
      <xdr:colOff>338686</xdr:colOff>
      <xdr:row>28</xdr:row>
      <xdr:rowOff>85665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7B395629-B844-432E-954C-CCC5D714996A}"/>
            </a:ext>
          </a:extLst>
        </xdr:cNvPr>
        <xdr:cNvSpPr/>
      </xdr:nvSpPr>
      <xdr:spPr>
        <a:xfrm>
          <a:off x="4570029" y="5096663"/>
          <a:ext cx="675475" cy="39227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44</xdr:col>
      <xdr:colOff>10995</xdr:colOff>
      <xdr:row>35</xdr:row>
      <xdr:rowOff>57417</xdr:rowOff>
    </xdr:from>
    <xdr:to>
      <xdr:col>47</xdr:col>
      <xdr:colOff>480786</xdr:colOff>
      <xdr:row>37</xdr:row>
      <xdr:rowOff>127001</xdr:rowOff>
    </xdr:to>
    <xdr:sp macro="" textlink="">
      <xdr:nvSpPr>
        <xdr:cNvPr id="31" name="Rectangle 30">
          <a:extLst>
            <a:ext uri="{FF2B5EF4-FFF2-40B4-BE49-F238E27FC236}">
              <a16:creationId xmlns:a16="http://schemas.microsoft.com/office/drawing/2014/main" id="{1FA89FAB-D16C-489E-86BE-661EE42F98CB}"/>
            </a:ext>
          </a:extLst>
        </xdr:cNvPr>
        <xdr:cNvSpPr/>
      </xdr:nvSpPr>
      <xdr:spPr>
        <a:xfrm>
          <a:off x="29166566" y="7042417"/>
          <a:ext cx="2438291" cy="43244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35</xdr:col>
      <xdr:colOff>3201</xdr:colOff>
      <xdr:row>35</xdr:row>
      <xdr:rowOff>37351</xdr:rowOff>
    </xdr:from>
    <xdr:to>
      <xdr:col>38</xdr:col>
      <xdr:colOff>163285</xdr:colOff>
      <xdr:row>37</xdr:row>
      <xdr:rowOff>117928</xdr:rowOff>
    </xdr:to>
    <xdr:sp macro="" textlink="">
      <xdr:nvSpPr>
        <xdr:cNvPr id="32" name="Rectangle 31">
          <a:extLst>
            <a:ext uri="{FF2B5EF4-FFF2-40B4-BE49-F238E27FC236}">
              <a16:creationId xmlns:a16="http://schemas.microsoft.com/office/drawing/2014/main" id="{7B68E33C-DC59-4900-BC7B-2C8AA6BCF8E8}"/>
            </a:ext>
          </a:extLst>
        </xdr:cNvPr>
        <xdr:cNvSpPr/>
      </xdr:nvSpPr>
      <xdr:spPr>
        <a:xfrm>
          <a:off x="23688701" y="7022351"/>
          <a:ext cx="1983441" cy="443434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55</xdr:col>
      <xdr:colOff>4227</xdr:colOff>
      <xdr:row>17</xdr:row>
      <xdr:rowOff>43958</xdr:rowOff>
    </xdr:from>
    <xdr:to>
      <xdr:col>56</xdr:col>
      <xdr:colOff>585079</xdr:colOff>
      <xdr:row>19</xdr:row>
      <xdr:rowOff>75414</xdr:rowOff>
    </xdr:to>
    <xdr:sp macro="" textlink="">
      <xdr:nvSpPr>
        <xdr:cNvPr id="33" name="Rectangle 32">
          <a:extLst>
            <a:ext uri="{FF2B5EF4-FFF2-40B4-BE49-F238E27FC236}">
              <a16:creationId xmlns:a16="http://schemas.microsoft.com/office/drawing/2014/main" id="{D96DE33B-31CA-448A-B2A9-31BDBF140B12}"/>
            </a:ext>
          </a:extLst>
        </xdr:cNvPr>
        <xdr:cNvSpPr/>
      </xdr:nvSpPr>
      <xdr:spPr>
        <a:xfrm>
          <a:off x="3075318" y="3045776"/>
          <a:ext cx="1192761" cy="40091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54</xdr:col>
      <xdr:colOff>544285</xdr:colOff>
      <xdr:row>26</xdr:row>
      <xdr:rowOff>67430</xdr:rowOff>
    </xdr:from>
    <xdr:to>
      <xdr:col>57</xdr:col>
      <xdr:colOff>202868</xdr:colOff>
      <xdr:row>28</xdr:row>
      <xdr:rowOff>100922</xdr:rowOff>
    </xdr:to>
    <xdr:sp macro="" textlink="">
      <xdr:nvSpPr>
        <xdr:cNvPr id="34" name="Rectangle 33">
          <a:extLst>
            <a:ext uri="{FF2B5EF4-FFF2-40B4-BE49-F238E27FC236}">
              <a16:creationId xmlns:a16="http://schemas.microsoft.com/office/drawing/2014/main" id="{BF96BF85-1655-4E9A-8337-C850AB1DDE47}"/>
            </a:ext>
          </a:extLst>
        </xdr:cNvPr>
        <xdr:cNvSpPr/>
      </xdr:nvSpPr>
      <xdr:spPr>
        <a:xfrm>
          <a:off x="3003467" y="5101248"/>
          <a:ext cx="1494310" cy="402947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57</xdr:col>
      <xdr:colOff>52710</xdr:colOff>
      <xdr:row>17</xdr:row>
      <xdr:rowOff>60716</xdr:rowOff>
    </xdr:from>
    <xdr:to>
      <xdr:col>58</xdr:col>
      <xdr:colOff>116276</xdr:colOff>
      <xdr:row>19</xdr:row>
      <xdr:rowOff>76164</xdr:rowOff>
    </xdr:to>
    <xdr:sp macro="" textlink="">
      <xdr:nvSpPr>
        <xdr:cNvPr id="35" name="Rectangle 34">
          <a:extLst>
            <a:ext uri="{FF2B5EF4-FFF2-40B4-BE49-F238E27FC236}">
              <a16:creationId xmlns:a16="http://schemas.microsoft.com/office/drawing/2014/main" id="{1C2B34DF-D97A-478C-B44A-D8F2296EE9E1}"/>
            </a:ext>
          </a:extLst>
        </xdr:cNvPr>
        <xdr:cNvSpPr/>
      </xdr:nvSpPr>
      <xdr:spPr>
        <a:xfrm>
          <a:off x="4347619" y="3062534"/>
          <a:ext cx="675475" cy="38490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57</xdr:col>
      <xdr:colOff>275120</xdr:colOff>
      <xdr:row>26</xdr:row>
      <xdr:rowOff>62845</xdr:rowOff>
    </xdr:from>
    <xdr:to>
      <xdr:col>58</xdr:col>
      <xdr:colOff>338686</xdr:colOff>
      <xdr:row>28</xdr:row>
      <xdr:rowOff>85665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7C8326A2-51C8-4E44-BA33-5BF5B5350034}"/>
            </a:ext>
          </a:extLst>
        </xdr:cNvPr>
        <xdr:cNvSpPr/>
      </xdr:nvSpPr>
      <xdr:spPr>
        <a:xfrm>
          <a:off x="4570029" y="5096663"/>
          <a:ext cx="675475" cy="39227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60</xdr:col>
      <xdr:colOff>600637</xdr:colOff>
      <xdr:row>35</xdr:row>
      <xdr:rowOff>48345</xdr:rowOff>
    </xdr:from>
    <xdr:to>
      <xdr:col>65</xdr:col>
      <xdr:colOff>489858</xdr:colOff>
      <xdr:row>37</xdr:row>
      <xdr:rowOff>108857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D7CE395D-7F9A-4FE6-AD59-C1C3004D4258}"/>
            </a:ext>
          </a:extLst>
        </xdr:cNvPr>
        <xdr:cNvSpPr/>
      </xdr:nvSpPr>
      <xdr:spPr>
        <a:xfrm>
          <a:off x="39625923" y="7033345"/>
          <a:ext cx="3009792" cy="423369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51</xdr:col>
      <xdr:colOff>592845</xdr:colOff>
      <xdr:row>35</xdr:row>
      <xdr:rowOff>64566</xdr:rowOff>
    </xdr:from>
    <xdr:to>
      <xdr:col>55</xdr:col>
      <xdr:colOff>145143</xdr:colOff>
      <xdr:row>37</xdr:row>
      <xdr:rowOff>136072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0224DC01-F84A-4D03-B334-17ACCDDB556C}"/>
            </a:ext>
          </a:extLst>
        </xdr:cNvPr>
        <xdr:cNvSpPr/>
      </xdr:nvSpPr>
      <xdr:spPr>
        <a:xfrm>
          <a:off x="34148059" y="7049566"/>
          <a:ext cx="1983441" cy="434363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20</xdr:col>
      <xdr:colOff>605118</xdr:colOff>
      <xdr:row>7</xdr:row>
      <xdr:rowOff>164353</xdr:rowOff>
    </xdr:from>
    <xdr:to>
      <xdr:col>22</xdr:col>
      <xdr:colOff>471784</xdr:colOff>
      <xdr:row>10</xdr:row>
      <xdr:rowOff>14381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BB63628F-E561-44E9-9D14-FD80459C3B13}"/>
            </a:ext>
          </a:extLst>
        </xdr:cNvPr>
        <xdr:cNvSpPr/>
      </xdr:nvSpPr>
      <xdr:spPr>
        <a:xfrm>
          <a:off x="14993471" y="956235"/>
          <a:ext cx="1091842" cy="41032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22</xdr:col>
      <xdr:colOff>527666</xdr:colOff>
      <xdr:row>7</xdr:row>
      <xdr:rowOff>168838</xdr:rowOff>
    </xdr:from>
    <xdr:to>
      <xdr:col>23</xdr:col>
      <xdr:colOff>591231</xdr:colOff>
      <xdr:row>10</xdr:row>
      <xdr:rowOff>4896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FE0C8190-5D8C-4AFF-B317-B78E078BEE0C}"/>
            </a:ext>
          </a:extLst>
        </xdr:cNvPr>
        <xdr:cNvSpPr/>
      </xdr:nvSpPr>
      <xdr:spPr>
        <a:xfrm>
          <a:off x="16141195" y="960720"/>
          <a:ext cx="676154" cy="39635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38</xdr:col>
      <xdr:colOff>25614</xdr:colOff>
      <xdr:row>7</xdr:row>
      <xdr:rowOff>167021</xdr:rowOff>
    </xdr:from>
    <xdr:to>
      <xdr:col>39</xdr:col>
      <xdr:colOff>500065</xdr:colOff>
      <xdr:row>10</xdr:row>
      <xdr:rowOff>17049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6AED1592-9567-4C5E-B5EC-C67DB73F0BD3}"/>
            </a:ext>
          </a:extLst>
        </xdr:cNvPr>
        <xdr:cNvSpPr/>
      </xdr:nvSpPr>
      <xdr:spPr>
        <a:xfrm>
          <a:off x="25534471" y="956235"/>
          <a:ext cx="1082237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39</xdr:col>
      <xdr:colOff>555947</xdr:colOff>
      <xdr:row>7</xdr:row>
      <xdr:rowOff>171506</xdr:rowOff>
    </xdr:from>
    <xdr:to>
      <xdr:col>41</xdr:col>
      <xdr:colOff>11727</xdr:colOff>
      <xdr:row>10</xdr:row>
      <xdr:rowOff>7564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2D163888-0479-4752-B5D0-D92409DD7DF4}"/>
            </a:ext>
          </a:extLst>
        </xdr:cNvPr>
        <xdr:cNvSpPr/>
      </xdr:nvSpPr>
      <xdr:spPr>
        <a:xfrm>
          <a:off x="26672590" y="960720"/>
          <a:ext cx="671351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55</xdr:col>
      <xdr:colOff>36286</xdr:colOff>
      <xdr:row>7</xdr:row>
      <xdr:rowOff>108857</xdr:rowOff>
    </xdr:from>
    <xdr:to>
      <xdr:col>56</xdr:col>
      <xdr:colOff>510738</xdr:colOff>
      <xdr:row>9</xdr:row>
      <xdr:rowOff>140314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DEFC1D4-1581-43DA-97B3-63B22C1C673B}"/>
            </a:ext>
          </a:extLst>
        </xdr:cNvPr>
        <xdr:cNvSpPr/>
      </xdr:nvSpPr>
      <xdr:spPr>
        <a:xfrm>
          <a:off x="36158715" y="898071"/>
          <a:ext cx="1082237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56</xdr:col>
      <xdr:colOff>566620</xdr:colOff>
      <xdr:row>7</xdr:row>
      <xdr:rowOff>113342</xdr:rowOff>
    </xdr:from>
    <xdr:to>
      <xdr:col>58</xdr:col>
      <xdr:colOff>22399</xdr:colOff>
      <xdr:row>9</xdr:row>
      <xdr:rowOff>130829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F9C4D000-5A43-4659-9607-EA9D2F91C207}"/>
            </a:ext>
          </a:extLst>
        </xdr:cNvPr>
        <xdr:cNvSpPr/>
      </xdr:nvSpPr>
      <xdr:spPr>
        <a:xfrm>
          <a:off x="37296834" y="902556"/>
          <a:ext cx="671351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1</xdr:col>
      <xdr:colOff>80817</xdr:colOff>
      <xdr:row>3</xdr:row>
      <xdr:rowOff>103910</xdr:rowOff>
    </xdr:from>
    <xdr:to>
      <xdr:col>8</xdr:col>
      <xdr:colOff>323272</xdr:colOff>
      <xdr:row>6</xdr:row>
      <xdr:rowOff>103910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8779979D-1D72-4208-A6B9-6D50961364E0}"/>
            </a:ext>
          </a:extLst>
        </xdr:cNvPr>
        <xdr:cNvSpPr/>
      </xdr:nvSpPr>
      <xdr:spPr>
        <a:xfrm>
          <a:off x="692726" y="1073728"/>
          <a:ext cx="5149273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_YOLOv11-n_Detection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25398</xdr:colOff>
      <xdr:row>4</xdr:row>
      <xdr:rowOff>2312</xdr:rowOff>
    </xdr:from>
    <xdr:to>
      <xdr:col>27</xdr:col>
      <xdr:colOff>542635</xdr:colOff>
      <xdr:row>7</xdr:row>
      <xdr:rowOff>2312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5E805C6A-4449-4C74-8640-6D8228CD7556}"/>
            </a:ext>
          </a:extLst>
        </xdr:cNvPr>
        <xdr:cNvSpPr/>
      </xdr:nvSpPr>
      <xdr:spPr>
        <a:xfrm>
          <a:off x="13175671" y="1156857"/>
          <a:ext cx="6024419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Grayscale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_YOLOv11-n_Detection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35</xdr:col>
      <xdr:colOff>50800</xdr:colOff>
      <xdr:row>3</xdr:row>
      <xdr:rowOff>143165</xdr:rowOff>
    </xdr:from>
    <xdr:to>
      <xdr:col>47</xdr:col>
      <xdr:colOff>519545</xdr:colOff>
      <xdr:row>6</xdr:row>
      <xdr:rowOff>143165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63837C02-8202-4933-8A99-17DDC7F166AD}"/>
            </a:ext>
          </a:extLst>
        </xdr:cNvPr>
        <xdr:cNvSpPr/>
      </xdr:nvSpPr>
      <xdr:spPr>
        <a:xfrm>
          <a:off x="23857527" y="1112983"/>
          <a:ext cx="7950200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Adaptive Equalisation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_YOLOv11-n_Detection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52</xdr:col>
      <xdr:colOff>30017</xdr:colOff>
      <xdr:row>3</xdr:row>
      <xdr:rowOff>133929</xdr:rowOff>
    </xdr:from>
    <xdr:to>
      <xdr:col>65</xdr:col>
      <xdr:colOff>277091</xdr:colOff>
      <xdr:row>6</xdr:row>
      <xdr:rowOff>133929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81B9102D-8840-4F3F-B6CF-04651FB5E61C}"/>
            </a:ext>
          </a:extLst>
        </xdr:cNvPr>
        <xdr:cNvSpPr/>
      </xdr:nvSpPr>
      <xdr:spPr>
        <a:xfrm>
          <a:off x="34516290" y="1103747"/>
          <a:ext cx="8282710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Histogram Equalisation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_YOLOv11-n_Detection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55</xdr:col>
      <xdr:colOff>473363</xdr:colOff>
      <xdr:row>78</xdr:row>
      <xdr:rowOff>63207</xdr:rowOff>
    </xdr:from>
    <xdr:to>
      <xdr:col>65</xdr:col>
      <xdr:colOff>450273</xdr:colOff>
      <xdr:row>98</xdr:row>
      <xdr:rowOff>53685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C55D8DD2-84D4-EA96-51BE-BF0FED4138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795363" y="16180662"/>
          <a:ext cx="6176819" cy="368502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496456</xdr:colOff>
      <xdr:row>98</xdr:row>
      <xdr:rowOff>119449</xdr:rowOff>
    </xdr:from>
    <xdr:to>
      <xdr:col>65</xdr:col>
      <xdr:colOff>523089</xdr:colOff>
      <xdr:row>118</xdr:row>
      <xdr:rowOff>138546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4C037D9D-BDEF-8830-9A79-617622D1F21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18456" y="19931449"/>
          <a:ext cx="6226542" cy="37136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55</xdr:col>
      <xdr:colOff>542637</xdr:colOff>
      <xdr:row>119</xdr:row>
      <xdr:rowOff>47401</xdr:rowOff>
    </xdr:from>
    <xdr:to>
      <xdr:col>65</xdr:col>
      <xdr:colOff>623455</xdr:colOff>
      <xdr:row>139</xdr:row>
      <xdr:rowOff>99868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2A4E974-7E13-E607-1747-AF3F27F6CD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4637" y="23738674"/>
          <a:ext cx="6280727" cy="37470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45</xdr:col>
      <xdr:colOff>138545</xdr:colOff>
      <xdr:row>98</xdr:row>
      <xdr:rowOff>23092</xdr:rowOff>
    </xdr:from>
    <xdr:to>
      <xdr:col>55</xdr:col>
      <xdr:colOff>144326</xdr:colOff>
      <xdr:row>118</xdr:row>
      <xdr:rowOff>65233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F927C4F-4AC3-4CC2-73B9-EE4B8565C3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202909" y="19835092"/>
          <a:ext cx="6263417" cy="37366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211845</xdr:colOff>
      <xdr:row>64</xdr:row>
      <xdr:rowOff>164352</xdr:rowOff>
    </xdr:from>
    <xdr:to>
      <xdr:col>21</xdr:col>
      <xdr:colOff>361255</xdr:colOff>
      <xdr:row>67</xdr:row>
      <xdr:rowOff>4484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6F5C20AB-2449-4F05-BE40-D238E059C589}"/>
            </a:ext>
          </a:extLst>
        </xdr:cNvPr>
        <xdr:cNvSpPr/>
      </xdr:nvSpPr>
      <xdr:spPr>
        <a:xfrm>
          <a:off x="821445" y="13473952"/>
          <a:ext cx="1355910" cy="392582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(Box)</a:t>
          </a:r>
          <a:endParaRPr lang="en-MY" sz="2000"/>
        </a:p>
      </xdr:txBody>
    </xdr:sp>
    <xdr:clientData/>
  </xdr:twoCellAnchor>
  <xdr:twoCellAnchor>
    <xdr:from>
      <xdr:col>23</xdr:col>
      <xdr:colOff>92636</xdr:colOff>
      <xdr:row>64</xdr:row>
      <xdr:rowOff>159870</xdr:rowOff>
    </xdr:from>
    <xdr:to>
      <xdr:col>25</xdr:col>
      <xdr:colOff>425823</xdr:colOff>
      <xdr:row>67</xdr:row>
      <xdr:rowOff>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A817BFEA-E1C1-4F6D-A40B-E93D0082A410}"/>
            </a:ext>
          </a:extLst>
        </xdr:cNvPr>
        <xdr:cNvSpPr/>
      </xdr:nvSpPr>
      <xdr:spPr>
        <a:xfrm>
          <a:off x="3127936" y="13469470"/>
          <a:ext cx="1552387" cy="392582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(Mask)</a:t>
          </a:r>
          <a:endParaRPr lang="en-MY" sz="2000"/>
        </a:p>
      </xdr:txBody>
    </xdr:sp>
    <xdr:clientData/>
  </xdr:twoCellAnchor>
  <xdr:twoCellAnchor>
    <xdr:from>
      <xdr:col>28</xdr:col>
      <xdr:colOff>29136</xdr:colOff>
      <xdr:row>64</xdr:row>
      <xdr:rowOff>157203</xdr:rowOff>
    </xdr:from>
    <xdr:to>
      <xdr:col>32</xdr:col>
      <xdr:colOff>616857</xdr:colOff>
      <xdr:row>66</xdr:row>
      <xdr:rowOff>178764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C4995A96-0AD6-4281-A320-F9F26E0ACB7F}"/>
            </a:ext>
          </a:extLst>
        </xdr:cNvPr>
        <xdr:cNvSpPr/>
      </xdr:nvSpPr>
      <xdr:spPr>
        <a:xfrm>
          <a:off x="6112436" y="13466803"/>
          <a:ext cx="3280121" cy="38986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4</xdr:col>
      <xdr:colOff>76480</xdr:colOff>
      <xdr:row>7</xdr:row>
      <xdr:rowOff>175344</xdr:rowOff>
    </xdr:from>
    <xdr:to>
      <xdr:col>5</xdr:col>
      <xdr:colOff>555733</xdr:colOff>
      <xdr:row>10</xdr:row>
      <xdr:rowOff>25372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0EB1E92-ECC4-442D-B49B-0DC6D6D01375}"/>
            </a:ext>
          </a:extLst>
        </xdr:cNvPr>
        <xdr:cNvSpPr/>
      </xdr:nvSpPr>
      <xdr:spPr>
        <a:xfrm>
          <a:off x="2698123" y="1327415"/>
          <a:ext cx="1087039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4</xdr:col>
      <xdr:colOff>4227</xdr:colOff>
      <xdr:row>17</xdr:row>
      <xdr:rowOff>43958</xdr:rowOff>
    </xdr:from>
    <xdr:to>
      <xdr:col>5</xdr:col>
      <xdr:colOff>585079</xdr:colOff>
      <xdr:row>19</xdr:row>
      <xdr:rowOff>75414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86ABF791-8DFE-4CEF-A022-18786E370985}"/>
            </a:ext>
          </a:extLst>
        </xdr:cNvPr>
        <xdr:cNvSpPr/>
      </xdr:nvSpPr>
      <xdr:spPr>
        <a:xfrm>
          <a:off x="2625870" y="3382244"/>
          <a:ext cx="1188638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</xdr:col>
      <xdr:colOff>544285</xdr:colOff>
      <xdr:row>26</xdr:row>
      <xdr:rowOff>67430</xdr:rowOff>
    </xdr:from>
    <xdr:to>
      <xdr:col>6</xdr:col>
      <xdr:colOff>202868</xdr:colOff>
      <xdr:row>28</xdr:row>
      <xdr:rowOff>100922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4B5A207-8EB5-4EDA-91E8-395041DAF7A7}"/>
            </a:ext>
          </a:extLst>
        </xdr:cNvPr>
        <xdr:cNvSpPr/>
      </xdr:nvSpPr>
      <xdr:spPr>
        <a:xfrm>
          <a:off x="2558142" y="5410501"/>
          <a:ext cx="1481940" cy="39635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6</xdr:col>
      <xdr:colOff>6499</xdr:colOff>
      <xdr:row>7</xdr:row>
      <xdr:rowOff>172358</xdr:rowOff>
    </xdr:from>
    <xdr:to>
      <xdr:col>7</xdr:col>
      <xdr:colOff>70065</xdr:colOff>
      <xdr:row>10</xdr:row>
      <xdr:rowOff>8416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5B1A309C-330C-4131-8074-6773063B2178}"/>
            </a:ext>
          </a:extLst>
        </xdr:cNvPr>
        <xdr:cNvSpPr/>
      </xdr:nvSpPr>
      <xdr:spPr>
        <a:xfrm>
          <a:off x="3843713" y="1324429"/>
          <a:ext cx="671352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6</xdr:col>
      <xdr:colOff>52710</xdr:colOff>
      <xdr:row>17</xdr:row>
      <xdr:rowOff>60716</xdr:rowOff>
    </xdr:from>
    <xdr:to>
      <xdr:col>7</xdr:col>
      <xdr:colOff>116276</xdr:colOff>
      <xdr:row>19</xdr:row>
      <xdr:rowOff>76164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80A5408-762A-48E8-BFF2-32E72247F62C}"/>
            </a:ext>
          </a:extLst>
        </xdr:cNvPr>
        <xdr:cNvSpPr/>
      </xdr:nvSpPr>
      <xdr:spPr>
        <a:xfrm>
          <a:off x="3889924" y="3399002"/>
          <a:ext cx="671352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6</xdr:col>
      <xdr:colOff>275120</xdr:colOff>
      <xdr:row>26</xdr:row>
      <xdr:rowOff>62845</xdr:rowOff>
    </xdr:from>
    <xdr:to>
      <xdr:col>7</xdr:col>
      <xdr:colOff>338686</xdr:colOff>
      <xdr:row>28</xdr:row>
      <xdr:rowOff>85665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073A0522-C60F-4E0F-A15E-54D220709CE4}"/>
            </a:ext>
          </a:extLst>
        </xdr:cNvPr>
        <xdr:cNvSpPr/>
      </xdr:nvSpPr>
      <xdr:spPr>
        <a:xfrm>
          <a:off x="4112334" y="5405916"/>
          <a:ext cx="671352" cy="38567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23</xdr:col>
      <xdr:colOff>11166</xdr:colOff>
      <xdr:row>7</xdr:row>
      <xdr:rowOff>164458</xdr:rowOff>
    </xdr:from>
    <xdr:to>
      <xdr:col>24</xdr:col>
      <xdr:colOff>490420</xdr:colOff>
      <xdr:row>10</xdr:row>
      <xdr:rowOff>14486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B5198F94-8061-4B32-A35C-8219F824D42A}"/>
            </a:ext>
          </a:extLst>
        </xdr:cNvPr>
        <xdr:cNvSpPr/>
      </xdr:nvSpPr>
      <xdr:spPr>
        <a:xfrm>
          <a:off x="16258095" y="1316529"/>
          <a:ext cx="1087039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23</xdr:col>
      <xdr:colOff>11485</xdr:colOff>
      <xdr:row>26</xdr:row>
      <xdr:rowOff>160074</xdr:rowOff>
    </xdr:from>
    <xdr:to>
      <xdr:col>24</xdr:col>
      <xdr:colOff>592338</xdr:colOff>
      <xdr:row>29</xdr:row>
      <xdr:rowOff>10101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3E413D6F-A5F7-4CAE-8BF8-58140DD97EB6}"/>
            </a:ext>
          </a:extLst>
        </xdr:cNvPr>
        <xdr:cNvSpPr/>
      </xdr:nvSpPr>
      <xdr:spPr>
        <a:xfrm>
          <a:off x="16258414" y="5503145"/>
          <a:ext cx="1188638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23</xdr:col>
      <xdr:colOff>25399</xdr:colOff>
      <xdr:row>46</xdr:row>
      <xdr:rowOff>20258</xdr:rowOff>
    </xdr:from>
    <xdr:to>
      <xdr:col>25</xdr:col>
      <xdr:colOff>291768</xdr:colOff>
      <xdr:row>48</xdr:row>
      <xdr:rowOff>53751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291B0528-6A0B-4C9A-9FB7-E1E68A44EB2A}"/>
            </a:ext>
          </a:extLst>
        </xdr:cNvPr>
        <xdr:cNvSpPr/>
      </xdr:nvSpPr>
      <xdr:spPr>
        <a:xfrm>
          <a:off x="16272328" y="9926258"/>
          <a:ext cx="1481940" cy="396350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24</xdr:col>
      <xdr:colOff>567114</xdr:colOff>
      <xdr:row>7</xdr:row>
      <xdr:rowOff>170543</xdr:rowOff>
    </xdr:from>
    <xdr:to>
      <xdr:col>26</xdr:col>
      <xdr:colOff>22894</xdr:colOff>
      <xdr:row>10</xdr:row>
      <xdr:rowOff>6601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293E7EF0-FC60-4101-B2C4-CEAD8402744D}"/>
            </a:ext>
          </a:extLst>
        </xdr:cNvPr>
        <xdr:cNvSpPr/>
      </xdr:nvSpPr>
      <xdr:spPr>
        <a:xfrm>
          <a:off x="17421828" y="1322614"/>
          <a:ext cx="671352" cy="38034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25</xdr:col>
      <xdr:colOff>41825</xdr:colOff>
      <xdr:row>26</xdr:row>
      <xdr:rowOff>167760</xdr:rowOff>
    </xdr:from>
    <xdr:to>
      <xdr:col>26</xdr:col>
      <xdr:colOff>105391</xdr:colOff>
      <xdr:row>29</xdr:row>
      <xdr:rowOff>1779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22D10613-EC48-48D8-A457-B1CC51799301}"/>
            </a:ext>
          </a:extLst>
        </xdr:cNvPr>
        <xdr:cNvSpPr/>
      </xdr:nvSpPr>
      <xdr:spPr>
        <a:xfrm>
          <a:off x="17504325" y="5510831"/>
          <a:ext cx="671352" cy="378305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25</xdr:col>
      <xdr:colOff>345878</xdr:colOff>
      <xdr:row>46</xdr:row>
      <xdr:rowOff>15673</xdr:rowOff>
    </xdr:from>
    <xdr:to>
      <xdr:col>26</xdr:col>
      <xdr:colOff>409444</xdr:colOff>
      <xdr:row>48</xdr:row>
      <xdr:rowOff>38494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28160EB6-014B-4236-9D15-951FBD2271EA}"/>
            </a:ext>
          </a:extLst>
        </xdr:cNvPr>
        <xdr:cNvSpPr/>
      </xdr:nvSpPr>
      <xdr:spPr>
        <a:xfrm>
          <a:off x="17808378" y="9921673"/>
          <a:ext cx="671352" cy="38567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10</xdr:col>
      <xdr:colOff>29137</xdr:colOff>
      <xdr:row>34</xdr:row>
      <xdr:rowOff>157203</xdr:rowOff>
    </xdr:from>
    <xdr:to>
      <xdr:col>13</xdr:col>
      <xdr:colOff>217715</xdr:colOff>
      <xdr:row>36</xdr:row>
      <xdr:rowOff>178764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508E6AF1-C1D1-4A02-BCE1-2F60FB2920DE}"/>
            </a:ext>
          </a:extLst>
        </xdr:cNvPr>
        <xdr:cNvSpPr/>
      </xdr:nvSpPr>
      <xdr:spPr>
        <a:xfrm>
          <a:off x="6297494" y="7695560"/>
          <a:ext cx="2991650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</xdr:col>
      <xdr:colOff>48559</xdr:colOff>
      <xdr:row>35</xdr:row>
      <xdr:rowOff>46423</xdr:rowOff>
    </xdr:from>
    <xdr:to>
      <xdr:col>4</xdr:col>
      <xdr:colOff>45357</xdr:colOff>
      <xdr:row>37</xdr:row>
      <xdr:rowOff>67984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B4380C0C-DEDD-4521-8B9F-EEA58AC13A56}"/>
            </a:ext>
          </a:extLst>
        </xdr:cNvPr>
        <xdr:cNvSpPr/>
      </xdr:nvSpPr>
      <xdr:spPr>
        <a:xfrm>
          <a:off x="656345" y="7766209"/>
          <a:ext cx="2010655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1</xdr:col>
      <xdr:colOff>57727</xdr:colOff>
      <xdr:row>3</xdr:row>
      <xdr:rowOff>127000</xdr:rowOff>
    </xdr:from>
    <xdr:to>
      <xdr:col>9</xdr:col>
      <xdr:colOff>127000</xdr:colOff>
      <xdr:row>6</xdr:row>
      <xdr:rowOff>127000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31212845-65C5-4FE3-8676-1C14A46FEEAC}"/>
            </a:ext>
          </a:extLst>
        </xdr:cNvPr>
        <xdr:cNvSpPr/>
      </xdr:nvSpPr>
      <xdr:spPr>
        <a:xfrm>
          <a:off x="669636" y="1096818"/>
          <a:ext cx="5149273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_YOLOv11-n_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Detection</a:t>
          </a:r>
        </a:p>
      </xdr:txBody>
    </xdr:sp>
    <xdr:clientData/>
  </xdr:twoCellAnchor>
  <xdr:twoCellAnchor>
    <xdr:from>
      <xdr:col>19</xdr:col>
      <xdr:colOff>48491</xdr:colOff>
      <xdr:row>3</xdr:row>
      <xdr:rowOff>163946</xdr:rowOff>
    </xdr:from>
    <xdr:to>
      <xdr:col>31</xdr:col>
      <xdr:colOff>184727</xdr:colOff>
      <xdr:row>6</xdr:row>
      <xdr:rowOff>163946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12ED74AA-A5B3-4E13-89AB-3E11327746D5}"/>
            </a:ext>
          </a:extLst>
        </xdr:cNvPr>
        <xdr:cNvSpPr/>
      </xdr:nvSpPr>
      <xdr:spPr>
        <a:xfrm>
          <a:off x="13972309" y="1133764"/>
          <a:ext cx="7594600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_YOLOv11-n_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Instance</a:t>
          </a:r>
          <a:r>
            <a:rPr lang="en-MY" sz="3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Segmentation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47812</xdr:colOff>
      <xdr:row>7</xdr:row>
      <xdr:rowOff>174810</xdr:rowOff>
    </xdr:from>
    <xdr:to>
      <xdr:col>6</xdr:col>
      <xdr:colOff>522942</xdr:colOff>
      <xdr:row>10</xdr:row>
      <xdr:rowOff>14942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BE9AB349-B5F1-4644-B5EB-89CB71DEED59}"/>
            </a:ext>
          </a:extLst>
        </xdr:cNvPr>
        <xdr:cNvSpPr/>
      </xdr:nvSpPr>
      <xdr:spPr>
        <a:xfrm>
          <a:off x="3083112" y="1463860"/>
          <a:ext cx="1084730" cy="39258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</xdr:col>
      <xdr:colOff>20917</xdr:colOff>
      <xdr:row>17</xdr:row>
      <xdr:rowOff>185269</xdr:rowOff>
    </xdr:from>
    <xdr:to>
      <xdr:col>6</xdr:col>
      <xdr:colOff>597646</xdr:colOff>
      <xdr:row>20</xdr:row>
      <xdr:rowOff>25401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22293AC6-95D4-4775-AA4F-70D860DC3F36}"/>
            </a:ext>
          </a:extLst>
        </xdr:cNvPr>
        <xdr:cNvSpPr/>
      </xdr:nvSpPr>
      <xdr:spPr>
        <a:xfrm>
          <a:off x="3056217" y="5341469"/>
          <a:ext cx="1186329" cy="39258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4</xdr:col>
      <xdr:colOff>601383</xdr:colOff>
      <xdr:row>27</xdr:row>
      <xdr:rowOff>151012</xdr:rowOff>
    </xdr:from>
    <xdr:to>
      <xdr:col>7</xdr:col>
      <xdr:colOff>247596</xdr:colOff>
      <xdr:row>29</xdr:row>
      <xdr:rowOff>177908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2A4E0DB5-E1D6-4D4B-949B-3A999BBC0922}"/>
            </a:ext>
          </a:extLst>
        </xdr:cNvPr>
        <xdr:cNvSpPr/>
      </xdr:nvSpPr>
      <xdr:spPr>
        <a:xfrm>
          <a:off x="3105097" y="5793441"/>
          <a:ext cx="1469570" cy="38975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22</xdr:col>
      <xdr:colOff>31750</xdr:colOff>
      <xdr:row>7</xdr:row>
      <xdr:rowOff>142875</xdr:rowOff>
    </xdr:from>
    <xdr:to>
      <xdr:col>23</xdr:col>
      <xdr:colOff>506880</xdr:colOff>
      <xdr:row>9</xdr:row>
      <xdr:rowOff>173507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2A552024-19D7-49BC-8BF2-DA13B87E9221}"/>
            </a:ext>
          </a:extLst>
        </xdr:cNvPr>
        <xdr:cNvSpPr/>
      </xdr:nvSpPr>
      <xdr:spPr>
        <a:xfrm>
          <a:off x="13677900" y="1431925"/>
          <a:ext cx="1084730" cy="3989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39</xdr:col>
      <xdr:colOff>9525</xdr:colOff>
      <xdr:row>7</xdr:row>
      <xdr:rowOff>120650</xdr:rowOff>
    </xdr:from>
    <xdr:to>
      <xdr:col>40</xdr:col>
      <xdr:colOff>484655</xdr:colOff>
      <xdr:row>9</xdr:row>
      <xdr:rowOff>151282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D4E0E9EF-97FB-405C-80BC-6F4FCBA3C61F}"/>
            </a:ext>
          </a:extLst>
        </xdr:cNvPr>
        <xdr:cNvSpPr/>
      </xdr:nvSpPr>
      <xdr:spPr>
        <a:xfrm>
          <a:off x="24018875" y="1409700"/>
          <a:ext cx="1084730" cy="3989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56</xdr:col>
      <xdr:colOff>50800</xdr:colOff>
      <xdr:row>7</xdr:row>
      <xdr:rowOff>177800</xdr:rowOff>
    </xdr:from>
    <xdr:to>
      <xdr:col>57</xdr:col>
      <xdr:colOff>525930</xdr:colOff>
      <xdr:row>10</xdr:row>
      <xdr:rowOff>17932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AC97EE08-DE25-4C8A-BBA4-459CEEDA7BF6}"/>
            </a:ext>
          </a:extLst>
        </xdr:cNvPr>
        <xdr:cNvSpPr/>
      </xdr:nvSpPr>
      <xdr:spPr>
        <a:xfrm>
          <a:off x="34423350" y="1466850"/>
          <a:ext cx="1084730" cy="39258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22</xdr:col>
      <xdr:colOff>35858</xdr:colOff>
      <xdr:row>17</xdr:row>
      <xdr:rowOff>152585</xdr:rowOff>
    </xdr:from>
    <xdr:to>
      <xdr:col>24</xdr:col>
      <xdr:colOff>9337</xdr:colOff>
      <xdr:row>19</xdr:row>
      <xdr:rowOff>183217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23A83591-79BF-4750-9C25-7D1CCA8A8EEA}"/>
            </a:ext>
          </a:extLst>
        </xdr:cNvPr>
        <xdr:cNvSpPr/>
      </xdr:nvSpPr>
      <xdr:spPr>
        <a:xfrm>
          <a:off x="13682008" y="5308785"/>
          <a:ext cx="1192679" cy="3989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39</xdr:col>
      <xdr:colOff>29508</xdr:colOff>
      <xdr:row>17</xdr:row>
      <xdr:rowOff>146235</xdr:rowOff>
    </xdr:from>
    <xdr:to>
      <xdr:col>41</xdr:col>
      <xdr:colOff>2987</xdr:colOff>
      <xdr:row>19</xdr:row>
      <xdr:rowOff>176867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D375C9A-DBF4-4EED-8E80-D37AF5E30E32}"/>
            </a:ext>
          </a:extLst>
        </xdr:cNvPr>
        <xdr:cNvSpPr/>
      </xdr:nvSpPr>
      <xdr:spPr>
        <a:xfrm>
          <a:off x="24038858" y="5302435"/>
          <a:ext cx="1192679" cy="3989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56</xdr:col>
      <xdr:colOff>54908</xdr:colOff>
      <xdr:row>17</xdr:row>
      <xdr:rowOff>139885</xdr:rowOff>
    </xdr:from>
    <xdr:to>
      <xdr:col>58</xdr:col>
      <xdr:colOff>28387</xdr:colOff>
      <xdr:row>19</xdr:row>
      <xdr:rowOff>170517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632C3567-1E29-4ED4-894F-E53A45C1F755}"/>
            </a:ext>
          </a:extLst>
        </xdr:cNvPr>
        <xdr:cNvSpPr/>
      </xdr:nvSpPr>
      <xdr:spPr>
        <a:xfrm>
          <a:off x="34427458" y="5296085"/>
          <a:ext cx="1192679" cy="3989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22</xdr:col>
      <xdr:colOff>28949</xdr:colOff>
      <xdr:row>27</xdr:row>
      <xdr:rowOff>150345</xdr:rowOff>
    </xdr:from>
    <xdr:to>
      <xdr:col>24</xdr:col>
      <xdr:colOff>282948</xdr:colOff>
      <xdr:row>29</xdr:row>
      <xdr:rowOff>177241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825676B8-634D-4CF0-A8C9-D988DEA209C7}"/>
            </a:ext>
          </a:extLst>
        </xdr:cNvPr>
        <xdr:cNvSpPr/>
      </xdr:nvSpPr>
      <xdr:spPr>
        <a:xfrm>
          <a:off x="13675099" y="9173695"/>
          <a:ext cx="1473199" cy="39519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39</xdr:col>
      <xdr:colOff>6724</xdr:colOff>
      <xdr:row>27</xdr:row>
      <xdr:rowOff>119049</xdr:rowOff>
    </xdr:from>
    <xdr:to>
      <xdr:col>41</xdr:col>
      <xdr:colOff>260723</xdr:colOff>
      <xdr:row>29</xdr:row>
      <xdr:rowOff>145945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7BA88E56-0CD4-4EA6-B1B7-F16959790C60}"/>
            </a:ext>
          </a:extLst>
        </xdr:cNvPr>
        <xdr:cNvSpPr/>
      </xdr:nvSpPr>
      <xdr:spPr>
        <a:xfrm>
          <a:off x="24635653" y="5761478"/>
          <a:ext cx="1469570" cy="38975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56</xdr:col>
      <xdr:colOff>32124</xdr:colOff>
      <xdr:row>27</xdr:row>
      <xdr:rowOff>121770</xdr:rowOff>
    </xdr:from>
    <xdr:to>
      <xdr:col>58</xdr:col>
      <xdr:colOff>286123</xdr:colOff>
      <xdr:row>29</xdr:row>
      <xdr:rowOff>148666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1AC34B2D-EBDA-44B5-BFC5-DAFB6E2B8F21}"/>
            </a:ext>
          </a:extLst>
        </xdr:cNvPr>
        <xdr:cNvSpPr/>
      </xdr:nvSpPr>
      <xdr:spPr>
        <a:xfrm>
          <a:off x="34404674" y="9145120"/>
          <a:ext cx="1473199" cy="39519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1</xdr:col>
      <xdr:colOff>15572</xdr:colOff>
      <xdr:row>37</xdr:row>
      <xdr:rowOff>25806</xdr:rowOff>
    </xdr:from>
    <xdr:to>
      <xdr:col>4</xdr:col>
      <xdr:colOff>115454</xdr:colOff>
      <xdr:row>39</xdr:row>
      <xdr:rowOff>92362</xdr:rowOff>
    </xdr:to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B746595B-C4BF-445D-9EA8-DBD31AC51CCC}"/>
            </a:ext>
          </a:extLst>
        </xdr:cNvPr>
        <xdr:cNvSpPr/>
      </xdr:nvSpPr>
      <xdr:spPr>
        <a:xfrm>
          <a:off x="627481" y="8384715"/>
          <a:ext cx="2004882" cy="43601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10</xdr:col>
      <xdr:colOff>29136</xdr:colOff>
      <xdr:row>36</xdr:row>
      <xdr:rowOff>157203</xdr:rowOff>
    </xdr:from>
    <xdr:to>
      <xdr:col>14</xdr:col>
      <xdr:colOff>616857</xdr:colOff>
      <xdr:row>38</xdr:row>
      <xdr:rowOff>178764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963C4E8-676C-4938-8191-DFFD4D2940CF}"/>
            </a:ext>
          </a:extLst>
        </xdr:cNvPr>
        <xdr:cNvSpPr/>
      </xdr:nvSpPr>
      <xdr:spPr>
        <a:xfrm>
          <a:off x="6252136" y="8331385"/>
          <a:ext cx="3220085" cy="391015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18</xdr:col>
      <xdr:colOff>12108</xdr:colOff>
      <xdr:row>37</xdr:row>
      <xdr:rowOff>8323</xdr:rowOff>
    </xdr:from>
    <xdr:to>
      <xdr:col>21</xdr:col>
      <xdr:colOff>138544</xdr:colOff>
      <xdr:row>39</xdr:row>
      <xdr:rowOff>69272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66954E5-401F-4023-8E1F-269BC75AE133}"/>
            </a:ext>
          </a:extLst>
        </xdr:cNvPr>
        <xdr:cNvSpPr/>
      </xdr:nvSpPr>
      <xdr:spPr>
        <a:xfrm>
          <a:off x="11499835" y="8367232"/>
          <a:ext cx="1962164" cy="430404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26</xdr:col>
      <xdr:colOff>598822</xdr:colOff>
      <xdr:row>37</xdr:row>
      <xdr:rowOff>19317</xdr:rowOff>
    </xdr:from>
    <xdr:to>
      <xdr:col>31</xdr:col>
      <xdr:colOff>334818</xdr:colOff>
      <xdr:row>39</xdr:row>
      <xdr:rowOff>80818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06373320-4CB3-40B8-AF41-D8AAA6B0767B}"/>
            </a:ext>
          </a:extLst>
        </xdr:cNvPr>
        <xdr:cNvSpPr/>
      </xdr:nvSpPr>
      <xdr:spPr>
        <a:xfrm>
          <a:off x="16981822" y="8378226"/>
          <a:ext cx="2934087" cy="43095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34</xdr:col>
      <xdr:colOff>589381</xdr:colOff>
      <xdr:row>37</xdr:row>
      <xdr:rowOff>8323</xdr:rowOff>
    </xdr:from>
    <xdr:to>
      <xdr:col>38</xdr:col>
      <xdr:colOff>161636</xdr:colOff>
      <xdr:row>39</xdr:row>
      <xdr:rowOff>115454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7FEFE5E4-DDC9-46E6-8DE1-9EEA145DF302}"/>
            </a:ext>
          </a:extLst>
        </xdr:cNvPr>
        <xdr:cNvSpPr/>
      </xdr:nvSpPr>
      <xdr:spPr>
        <a:xfrm>
          <a:off x="22260199" y="8367232"/>
          <a:ext cx="2019892" cy="47658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43</xdr:col>
      <xdr:colOff>598822</xdr:colOff>
      <xdr:row>37</xdr:row>
      <xdr:rowOff>19317</xdr:rowOff>
    </xdr:from>
    <xdr:to>
      <xdr:col>49</xdr:col>
      <xdr:colOff>97972</xdr:colOff>
      <xdr:row>39</xdr:row>
      <xdr:rowOff>40878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7E98A665-E202-47FB-ABB9-7CD484ACEDB5}"/>
            </a:ext>
          </a:extLst>
        </xdr:cNvPr>
        <xdr:cNvSpPr/>
      </xdr:nvSpPr>
      <xdr:spPr>
        <a:xfrm>
          <a:off x="27046572" y="13093967"/>
          <a:ext cx="3156750" cy="38986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52</xdr:col>
      <xdr:colOff>563</xdr:colOff>
      <xdr:row>37</xdr:row>
      <xdr:rowOff>31414</xdr:rowOff>
    </xdr:from>
    <xdr:to>
      <xdr:col>55</xdr:col>
      <xdr:colOff>127000</xdr:colOff>
      <xdr:row>39</xdr:row>
      <xdr:rowOff>103909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9274FE54-1CAB-4748-9793-E1E2C3364B04}"/>
            </a:ext>
          </a:extLst>
        </xdr:cNvPr>
        <xdr:cNvSpPr/>
      </xdr:nvSpPr>
      <xdr:spPr>
        <a:xfrm>
          <a:off x="32962836" y="8390323"/>
          <a:ext cx="1962164" cy="441950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(Detection)</a:t>
          </a:r>
          <a:endParaRPr lang="en-MY" sz="2000"/>
        </a:p>
      </xdr:txBody>
    </xdr:sp>
    <xdr:clientData/>
  </xdr:twoCellAnchor>
  <xdr:twoCellAnchor>
    <xdr:from>
      <xdr:col>60</xdr:col>
      <xdr:colOff>598822</xdr:colOff>
      <xdr:row>37</xdr:row>
      <xdr:rowOff>19317</xdr:rowOff>
    </xdr:from>
    <xdr:to>
      <xdr:col>66</xdr:col>
      <xdr:colOff>97972</xdr:colOff>
      <xdr:row>39</xdr:row>
      <xdr:rowOff>40878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AF47EB54-315B-4EAB-8359-A9EDC08AD545}"/>
            </a:ext>
          </a:extLst>
        </xdr:cNvPr>
        <xdr:cNvSpPr/>
      </xdr:nvSpPr>
      <xdr:spPr>
        <a:xfrm>
          <a:off x="37409772" y="13093967"/>
          <a:ext cx="3156750" cy="389861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7</xdr:col>
      <xdr:colOff>14942</xdr:colOff>
      <xdr:row>7</xdr:row>
      <xdr:rowOff>171824</xdr:rowOff>
    </xdr:from>
    <xdr:to>
      <xdr:col>8</xdr:col>
      <xdr:colOff>74385</xdr:colOff>
      <xdr:row>9</xdr:row>
      <xdr:rowOff>182713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9C6B4408-19AA-41FC-9A31-35D53CAB0B3C}"/>
            </a:ext>
          </a:extLst>
        </xdr:cNvPr>
        <xdr:cNvSpPr/>
      </xdr:nvSpPr>
      <xdr:spPr>
        <a:xfrm>
          <a:off x="4370295" y="1479177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7</xdr:col>
      <xdr:colOff>70224</xdr:colOff>
      <xdr:row>17</xdr:row>
      <xdr:rowOff>183884</xdr:rowOff>
    </xdr:from>
    <xdr:to>
      <xdr:col>8</xdr:col>
      <xdr:colOff>129667</xdr:colOff>
      <xdr:row>20</xdr:row>
      <xdr:rowOff>8008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FCAF4C88-AF60-4E11-86E7-4237EC9A6A7D}"/>
            </a:ext>
          </a:extLst>
        </xdr:cNvPr>
        <xdr:cNvSpPr/>
      </xdr:nvSpPr>
      <xdr:spPr>
        <a:xfrm>
          <a:off x="4425577" y="3724943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7</xdr:col>
      <xdr:colOff>310777</xdr:colOff>
      <xdr:row>27</xdr:row>
      <xdr:rowOff>164570</xdr:rowOff>
    </xdr:from>
    <xdr:to>
      <xdr:col>8</xdr:col>
      <xdr:colOff>370220</xdr:colOff>
      <xdr:row>29</xdr:row>
      <xdr:rowOff>180794</xdr:rowOff>
    </xdr:to>
    <xdr:sp macro="" textlink="">
      <xdr:nvSpPr>
        <xdr:cNvPr id="41" name="Rectangle 40">
          <a:extLst>
            <a:ext uri="{FF2B5EF4-FFF2-40B4-BE49-F238E27FC236}">
              <a16:creationId xmlns:a16="http://schemas.microsoft.com/office/drawing/2014/main" id="{3DEE71B0-7B44-4ED6-9218-F062782442B3}"/>
            </a:ext>
          </a:extLst>
        </xdr:cNvPr>
        <xdr:cNvSpPr/>
      </xdr:nvSpPr>
      <xdr:spPr>
        <a:xfrm>
          <a:off x="4666130" y="5939335"/>
          <a:ext cx="672031" cy="38975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24</xdr:col>
      <xdr:colOff>17930</xdr:colOff>
      <xdr:row>7</xdr:row>
      <xdr:rowOff>144930</xdr:rowOff>
    </xdr:from>
    <xdr:to>
      <xdr:col>25</xdr:col>
      <xdr:colOff>77373</xdr:colOff>
      <xdr:row>9</xdr:row>
      <xdr:rowOff>155819</xdr:rowOff>
    </xdr:to>
    <xdr:sp macro="" textlink="">
      <xdr:nvSpPr>
        <xdr:cNvPr id="42" name="Rectangle 41">
          <a:extLst>
            <a:ext uri="{FF2B5EF4-FFF2-40B4-BE49-F238E27FC236}">
              <a16:creationId xmlns:a16="http://schemas.microsoft.com/office/drawing/2014/main" id="{E5D8FD7E-8B48-4E67-B525-7CA55BFDA05D}"/>
            </a:ext>
          </a:extLst>
        </xdr:cNvPr>
        <xdr:cNvSpPr/>
      </xdr:nvSpPr>
      <xdr:spPr>
        <a:xfrm>
          <a:off x="15190695" y="1452283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24</xdr:col>
      <xdr:colOff>73212</xdr:colOff>
      <xdr:row>17</xdr:row>
      <xdr:rowOff>156990</xdr:rowOff>
    </xdr:from>
    <xdr:to>
      <xdr:col>25</xdr:col>
      <xdr:colOff>132655</xdr:colOff>
      <xdr:row>19</xdr:row>
      <xdr:rowOff>167879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B127167D-D42F-4CBC-9BBF-A746A545BD11}"/>
            </a:ext>
          </a:extLst>
        </xdr:cNvPr>
        <xdr:cNvSpPr/>
      </xdr:nvSpPr>
      <xdr:spPr>
        <a:xfrm>
          <a:off x="15245977" y="3698049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24</xdr:col>
      <xdr:colOff>313765</xdr:colOff>
      <xdr:row>27</xdr:row>
      <xdr:rowOff>137676</xdr:rowOff>
    </xdr:from>
    <xdr:to>
      <xdr:col>25</xdr:col>
      <xdr:colOff>373208</xdr:colOff>
      <xdr:row>29</xdr:row>
      <xdr:rowOff>153900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765D9B7E-8135-49C4-9546-2B8994190577}"/>
            </a:ext>
          </a:extLst>
        </xdr:cNvPr>
        <xdr:cNvSpPr/>
      </xdr:nvSpPr>
      <xdr:spPr>
        <a:xfrm>
          <a:off x="15486530" y="5912441"/>
          <a:ext cx="672031" cy="38975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41</xdr:col>
      <xdr:colOff>29882</xdr:colOff>
      <xdr:row>7</xdr:row>
      <xdr:rowOff>156882</xdr:rowOff>
    </xdr:from>
    <xdr:to>
      <xdr:col>42</xdr:col>
      <xdr:colOff>89325</xdr:colOff>
      <xdr:row>9</xdr:row>
      <xdr:rowOff>167771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E1A1462F-4629-4A70-AE8C-C3EDE19CCEBD}"/>
            </a:ext>
          </a:extLst>
        </xdr:cNvPr>
        <xdr:cNvSpPr/>
      </xdr:nvSpPr>
      <xdr:spPr>
        <a:xfrm>
          <a:off x="26012588" y="1464235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41</xdr:col>
      <xdr:colOff>85164</xdr:colOff>
      <xdr:row>17</xdr:row>
      <xdr:rowOff>168942</xdr:rowOff>
    </xdr:from>
    <xdr:to>
      <xdr:col>42</xdr:col>
      <xdr:colOff>144607</xdr:colOff>
      <xdr:row>19</xdr:row>
      <xdr:rowOff>179831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662C43E8-AA1A-4228-879C-8C942E2DE980}"/>
            </a:ext>
          </a:extLst>
        </xdr:cNvPr>
        <xdr:cNvSpPr/>
      </xdr:nvSpPr>
      <xdr:spPr>
        <a:xfrm>
          <a:off x="26067870" y="3710001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41</xdr:col>
      <xdr:colOff>325717</xdr:colOff>
      <xdr:row>27</xdr:row>
      <xdr:rowOff>149628</xdr:rowOff>
    </xdr:from>
    <xdr:to>
      <xdr:col>42</xdr:col>
      <xdr:colOff>385160</xdr:colOff>
      <xdr:row>29</xdr:row>
      <xdr:rowOff>165852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3C088630-C0FA-4DC5-B2B7-947C8202C9C0}"/>
            </a:ext>
          </a:extLst>
        </xdr:cNvPr>
        <xdr:cNvSpPr/>
      </xdr:nvSpPr>
      <xdr:spPr>
        <a:xfrm>
          <a:off x="26308423" y="5924393"/>
          <a:ext cx="672031" cy="38975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58</xdr:col>
      <xdr:colOff>22412</xdr:colOff>
      <xdr:row>7</xdr:row>
      <xdr:rowOff>171824</xdr:rowOff>
    </xdr:from>
    <xdr:to>
      <xdr:col>59</xdr:col>
      <xdr:colOff>81855</xdr:colOff>
      <xdr:row>9</xdr:row>
      <xdr:rowOff>182713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C6C98350-8B5E-43B3-85A4-3AF1D42734D5}"/>
            </a:ext>
          </a:extLst>
        </xdr:cNvPr>
        <xdr:cNvSpPr/>
      </xdr:nvSpPr>
      <xdr:spPr>
        <a:xfrm>
          <a:off x="36695530" y="1479177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58</xdr:col>
      <xdr:colOff>115047</xdr:colOff>
      <xdr:row>17</xdr:row>
      <xdr:rowOff>146531</xdr:rowOff>
    </xdr:from>
    <xdr:to>
      <xdr:col>59</xdr:col>
      <xdr:colOff>174490</xdr:colOff>
      <xdr:row>19</xdr:row>
      <xdr:rowOff>157420</xdr:rowOff>
    </xdr:to>
    <xdr:sp macro="" textlink="">
      <xdr:nvSpPr>
        <xdr:cNvPr id="52" name="Rectangle 51">
          <a:extLst>
            <a:ext uri="{FF2B5EF4-FFF2-40B4-BE49-F238E27FC236}">
              <a16:creationId xmlns:a16="http://schemas.microsoft.com/office/drawing/2014/main" id="{B2AF5378-725A-4DFD-92A8-2A9798B0DB5E}"/>
            </a:ext>
          </a:extLst>
        </xdr:cNvPr>
        <xdr:cNvSpPr/>
      </xdr:nvSpPr>
      <xdr:spPr>
        <a:xfrm>
          <a:off x="36788165" y="3687590"/>
          <a:ext cx="672031" cy="384418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58</xdr:col>
      <xdr:colOff>370541</xdr:colOff>
      <xdr:row>27</xdr:row>
      <xdr:rowOff>112276</xdr:rowOff>
    </xdr:from>
    <xdr:to>
      <xdr:col>59</xdr:col>
      <xdr:colOff>429984</xdr:colOff>
      <xdr:row>29</xdr:row>
      <xdr:rowOff>128500</xdr:rowOff>
    </xdr:to>
    <xdr:sp macro="" textlink="">
      <xdr:nvSpPr>
        <xdr:cNvPr id="53" name="Rectangle 52">
          <a:extLst>
            <a:ext uri="{FF2B5EF4-FFF2-40B4-BE49-F238E27FC236}">
              <a16:creationId xmlns:a16="http://schemas.microsoft.com/office/drawing/2014/main" id="{7898D48F-5A30-42B7-8FD4-3AECC9021649}"/>
            </a:ext>
          </a:extLst>
        </xdr:cNvPr>
        <xdr:cNvSpPr/>
      </xdr:nvSpPr>
      <xdr:spPr>
        <a:xfrm>
          <a:off x="37043659" y="5887041"/>
          <a:ext cx="672031" cy="38975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1</xdr:col>
      <xdr:colOff>127001</xdr:colOff>
      <xdr:row>4</xdr:row>
      <xdr:rowOff>0</xdr:rowOff>
    </xdr:from>
    <xdr:to>
      <xdr:col>9</xdr:col>
      <xdr:colOff>311728</xdr:colOff>
      <xdr:row>7</xdr:row>
      <xdr:rowOff>0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3758D0AE-D62B-4F09-A10E-0B5EDD2AE1F8}"/>
            </a:ext>
          </a:extLst>
        </xdr:cNvPr>
        <xdr:cNvSpPr/>
      </xdr:nvSpPr>
      <xdr:spPr>
        <a:xfrm>
          <a:off x="738910" y="1154545"/>
          <a:ext cx="5149273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YOLOv11-s_Detection</a:t>
          </a:r>
        </a:p>
      </xdr:txBody>
    </xdr:sp>
    <xdr:clientData/>
  </xdr:twoCellAnchor>
  <xdr:twoCellAnchor>
    <xdr:from>
      <xdr:col>18</xdr:col>
      <xdr:colOff>36947</xdr:colOff>
      <xdr:row>4</xdr:row>
      <xdr:rowOff>13855</xdr:rowOff>
    </xdr:from>
    <xdr:to>
      <xdr:col>26</xdr:col>
      <xdr:colOff>554182</xdr:colOff>
      <xdr:row>7</xdr:row>
      <xdr:rowOff>13855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965AC580-2307-44C0-B0B3-222A9959D180}"/>
            </a:ext>
          </a:extLst>
        </xdr:cNvPr>
        <xdr:cNvSpPr/>
      </xdr:nvSpPr>
      <xdr:spPr>
        <a:xfrm>
          <a:off x="11524674" y="1168400"/>
          <a:ext cx="541250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YOLOv11-m_Detection</a:t>
          </a:r>
        </a:p>
      </xdr:txBody>
    </xdr:sp>
    <xdr:clientData/>
  </xdr:twoCellAnchor>
  <xdr:twoCellAnchor>
    <xdr:from>
      <xdr:col>35</xdr:col>
      <xdr:colOff>62347</xdr:colOff>
      <xdr:row>4</xdr:row>
      <xdr:rowOff>16164</xdr:rowOff>
    </xdr:from>
    <xdr:to>
      <xdr:col>43</xdr:col>
      <xdr:colOff>579582</xdr:colOff>
      <xdr:row>7</xdr:row>
      <xdr:rowOff>16164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59775629-1943-4C87-BB6D-4768955B92EE}"/>
            </a:ext>
          </a:extLst>
        </xdr:cNvPr>
        <xdr:cNvSpPr/>
      </xdr:nvSpPr>
      <xdr:spPr>
        <a:xfrm>
          <a:off x="22345074" y="1170709"/>
          <a:ext cx="541250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YOLOv11-l_Detection</a:t>
          </a:r>
        </a:p>
      </xdr:txBody>
    </xdr:sp>
    <xdr:clientData/>
  </xdr:twoCellAnchor>
  <xdr:twoCellAnchor>
    <xdr:from>
      <xdr:col>52</xdr:col>
      <xdr:colOff>76201</xdr:colOff>
      <xdr:row>4</xdr:row>
      <xdr:rowOff>41564</xdr:rowOff>
    </xdr:from>
    <xdr:to>
      <xdr:col>60</xdr:col>
      <xdr:colOff>593437</xdr:colOff>
      <xdr:row>7</xdr:row>
      <xdr:rowOff>41564</xdr:rowOff>
    </xdr:to>
    <xdr:sp macro="" textlink="">
      <xdr:nvSpPr>
        <xdr:cNvPr id="54" name="Rectangle 53">
          <a:extLst>
            <a:ext uri="{FF2B5EF4-FFF2-40B4-BE49-F238E27FC236}">
              <a16:creationId xmlns:a16="http://schemas.microsoft.com/office/drawing/2014/main" id="{A35D5C44-FA9C-487B-8761-AC20A76E58D6}"/>
            </a:ext>
          </a:extLst>
        </xdr:cNvPr>
        <xdr:cNvSpPr/>
      </xdr:nvSpPr>
      <xdr:spPr>
        <a:xfrm>
          <a:off x="33038474" y="1196109"/>
          <a:ext cx="5412508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YOLOv11-x_Detection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47812</xdr:colOff>
      <xdr:row>7</xdr:row>
      <xdr:rowOff>174810</xdr:rowOff>
    </xdr:from>
    <xdr:to>
      <xdr:col>6</xdr:col>
      <xdr:colOff>522942</xdr:colOff>
      <xdr:row>10</xdr:row>
      <xdr:rowOff>14942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9B802341-C4AA-407D-AC07-CE6458AA0213}"/>
            </a:ext>
          </a:extLst>
        </xdr:cNvPr>
        <xdr:cNvSpPr/>
      </xdr:nvSpPr>
      <xdr:spPr>
        <a:xfrm>
          <a:off x="3110753" y="1482163"/>
          <a:ext cx="1087718" cy="40042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</xdr:col>
      <xdr:colOff>20917</xdr:colOff>
      <xdr:row>26</xdr:row>
      <xdr:rowOff>185269</xdr:rowOff>
    </xdr:from>
    <xdr:to>
      <xdr:col>6</xdr:col>
      <xdr:colOff>597646</xdr:colOff>
      <xdr:row>29</xdr:row>
      <xdr:rowOff>25401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B11AFBC8-EA85-4343-BBE5-38889052BA27}"/>
            </a:ext>
          </a:extLst>
        </xdr:cNvPr>
        <xdr:cNvSpPr/>
      </xdr:nvSpPr>
      <xdr:spPr>
        <a:xfrm>
          <a:off x="3083858" y="5407210"/>
          <a:ext cx="1189317" cy="40042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5</xdr:col>
      <xdr:colOff>29883</xdr:colOff>
      <xdr:row>45</xdr:row>
      <xdr:rowOff>141941</xdr:rowOff>
    </xdr:from>
    <xdr:to>
      <xdr:col>7</xdr:col>
      <xdr:colOff>283882</xdr:colOff>
      <xdr:row>47</xdr:row>
      <xdr:rowOff>168837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94FD9446-D560-4234-9D06-575E4D4DA309}"/>
            </a:ext>
          </a:extLst>
        </xdr:cNvPr>
        <xdr:cNvSpPr/>
      </xdr:nvSpPr>
      <xdr:spPr>
        <a:xfrm>
          <a:off x="3092824" y="9278470"/>
          <a:ext cx="1479176" cy="40042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22</xdr:col>
      <xdr:colOff>31750</xdr:colOff>
      <xdr:row>7</xdr:row>
      <xdr:rowOff>142875</xdr:rowOff>
    </xdr:from>
    <xdr:to>
      <xdr:col>23</xdr:col>
      <xdr:colOff>506880</xdr:colOff>
      <xdr:row>9</xdr:row>
      <xdr:rowOff>173507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364F18BF-54B9-4F6A-9920-B02F1BE8F604}"/>
            </a:ext>
          </a:extLst>
        </xdr:cNvPr>
        <xdr:cNvSpPr/>
      </xdr:nvSpPr>
      <xdr:spPr>
        <a:xfrm>
          <a:off x="13303250" y="1476375"/>
          <a:ext cx="1078380" cy="4116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39</xdr:col>
      <xdr:colOff>9525</xdr:colOff>
      <xdr:row>7</xdr:row>
      <xdr:rowOff>120650</xdr:rowOff>
    </xdr:from>
    <xdr:to>
      <xdr:col>40</xdr:col>
      <xdr:colOff>484655</xdr:colOff>
      <xdr:row>9</xdr:row>
      <xdr:rowOff>151282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C0641110-A02A-4FAA-B830-86CE982ABCFE}"/>
            </a:ext>
          </a:extLst>
        </xdr:cNvPr>
        <xdr:cNvSpPr/>
      </xdr:nvSpPr>
      <xdr:spPr>
        <a:xfrm>
          <a:off x="23536275" y="1454150"/>
          <a:ext cx="1078380" cy="4116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56</xdr:col>
      <xdr:colOff>50800</xdr:colOff>
      <xdr:row>7</xdr:row>
      <xdr:rowOff>177800</xdr:rowOff>
    </xdr:from>
    <xdr:to>
      <xdr:col>57</xdr:col>
      <xdr:colOff>525930</xdr:colOff>
      <xdr:row>10</xdr:row>
      <xdr:rowOff>17932</xdr:rowOff>
    </xdr:to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4F330935-2E7E-48BB-AF05-25E8BE50C5BC}"/>
            </a:ext>
          </a:extLst>
        </xdr:cNvPr>
        <xdr:cNvSpPr/>
      </xdr:nvSpPr>
      <xdr:spPr>
        <a:xfrm>
          <a:off x="33832800" y="1511300"/>
          <a:ext cx="1078380" cy="4116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0</a:t>
          </a:r>
          <a:endParaRPr lang="en-MY" sz="2000"/>
        </a:p>
      </xdr:txBody>
    </xdr:sp>
    <xdr:clientData/>
  </xdr:twoCellAnchor>
  <xdr:twoCellAnchor>
    <xdr:from>
      <xdr:col>22</xdr:col>
      <xdr:colOff>35858</xdr:colOff>
      <xdr:row>26</xdr:row>
      <xdr:rowOff>152585</xdr:rowOff>
    </xdr:from>
    <xdr:to>
      <xdr:col>24</xdr:col>
      <xdr:colOff>9337</xdr:colOff>
      <xdr:row>28</xdr:row>
      <xdr:rowOff>183217</xdr:rowOff>
    </xdr:to>
    <xdr:sp macro="" textlink="">
      <xdr:nvSpPr>
        <xdr:cNvPr id="12" name="Rectangle 11">
          <a:extLst>
            <a:ext uri="{FF2B5EF4-FFF2-40B4-BE49-F238E27FC236}">
              <a16:creationId xmlns:a16="http://schemas.microsoft.com/office/drawing/2014/main" id="{5CE108BB-492D-4233-BDB9-0A5DD3605E6D}"/>
            </a:ext>
          </a:extLst>
        </xdr:cNvPr>
        <xdr:cNvSpPr/>
      </xdr:nvSpPr>
      <xdr:spPr>
        <a:xfrm>
          <a:off x="13307358" y="5470710"/>
          <a:ext cx="1179979" cy="4116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39</xdr:col>
      <xdr:colOff>29508</xdr:colOff>
      <xdr:row>26</xdr:row>
      <xdr:rowOff>146235</xdr:rowOff>
    </xdr:from>
    <xdr:to>
      <xdr:col>41</xdr:col>
      <xdr:colOff>2987</xdr:colOff>
      <xdr:row>28</xdr:row>
      <xdr:rowOff>176867</xdr:rowOff>
    </xdr:to>
    <xdr:sp macro="" textlink="">
      <xdr:nvSpPr>
        <xdr:cNvPr id="13" name="Rectangle 12">
          <a:extLst>
            <a:ext uri="{FF2B5EF4-FFF2-40B4-BE49-F238E27FC236}">
              <a16:creationId xmlns:a16="http://schemas.microsoft.com/office/drawing/2014/main" id="{31F8E610-6AF5-477B-ACCF-1852BF255654}"/>
            </a:ext>
          </a:extLst>
        </xdr:cNvPr>
        <xdr:cNvSpPr/>
      </xdr:nvSpPr>
      <xdr:spPr>
        <a:xfrm>
          <a:off x="23556258" y="5464360"/>
          <a:ext cx="1179979" cy="4116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56</xdr:col>
      <xdr:colOff>54908</xdr:colOff>
      <xdr:row>26</xdr:row>
      <xdr:rowOff>139885</xdr:rowOff>
    </xdr:from>
    <xdr:to>
      <xdr:col>58</xdr:col>
      <xdr:colOff>28387</xdr:colOff>
      <xdr:row>28</xdr:row>
      <xdr:rowOff>170517</xdr:rowOff>
    </xdr:to>
    <xdr:sp macro="" textlink="">
      <xdr:nvSpPr>
        <xdr:cNvPr id="14" name="Rectangle 13">
          <a:extLst>
            <a:ext uri="{FF2B5EF4-FFF2-40B4-BE49-F238E27FC236}">
              <a16:creationId xmlns:a16="http://schemas.microsoft.com/office/drawing/2014/main" id="{16172302-C749-4CCA-ADC2-B7218F99B483}"/>
            </a:ext>
          </a:extLst>
        </xdr:cNvPr>
        <xdr:cNvSpPr/>
      </xdr:nvSpPr>
      <xdr:spPr>
        <a:xfrm>
          <a:off x="33836908" y="5458010"/>
          <a:ext cx="1179979" cy="411632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42</a:t>
          </a:r>
          <a:endParaRPr lang="en-MY" sz="2000"/>
        </a:p>
      </xdr:txBody>
    </xdr:sp>
    <xdr:clientData/>
  </xdr:twoCellAnchor>
  <xdr:twoCellAnchor>
    <xdr:from>
      <xdr:col>22</xdr:col>
      <xdr:colOff>28949</xdr:colOff>
      <xdr:row>45</xdr:row>
      <xdr:rowOff>150345</xdr:rowOff>
    </xdr:from>
    <xdr:to>
      <xdr:col>24</xdr:col>
      <xdr:colOff>282948</xdr:colOff>
      <xdr:row>47</xdr:row>
      <xdr:rowOff>177241</xdr:rowOff>
    </xdr:to>
    <xdr:sp macro="" textlink="">
      <xdr:nvSpPr>
        <xdr:cNvPr id="15" name="Rectangle 14">
          <a:extLst>
            <a:ext uri="{FF2B5EF4-FFF2-40B4-BE49-F238E27FC236}">
              <a16:creationId xmlns:a16="http://schemas.microsoft.com/office/drawing/2014/main" id="{0C183AF4-5D32-48AC-8AF4-4E609B8EE552}"/>
            </a:ext>
          </a:extLst>
        </xdr:cNvPr>
        <xdr:cNvSpPr/>
      </xdr:nvSpPr>
      <xdr:spPr>
        <a:xfrm>
          <a:off x="13300449" y="9453095"/>
          <a:ext cx="1460499" cy="40789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39</xdr:col>
      <xdr:colOff>70224</xdr:colOff>
      <xdr:row>45</xdr:row>
      <xdr:rowOff>128120</xdr:rowOff>
    </xdr:from>
    <xdr:to>
      <xdr:col>41</xdr:col>
      <xdr:colOff>324223</xdr:colOff>
      <xdr:row>47</xdr:row>
      <xdr:rowOff>155016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7FA7E5C-1FE3-4E43-B66E-F8DCD5DC0456}"/>
            </a:ext>
          </a:extLst>
        </xdr:cNvPr>
        <xdr:cNvSpPr/>
      </xdr:nvSpPr>
      <xdr:spPr>
        <a:xfrm>
          <a:off x="23596974" y="9430870"/>
          <a:ext cx="1460499" cy="40789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56</xdr:col>
      <xdr:colOff>32124</xdr:colOff>
      <xdr:row>45</xdr:row>
      <xdr:rowOff>121770</xdr:rowOff>
    </xdr:from>
    <xdr:to>
      <xdr:col>58</xdr:col>
      <xdr:colOff>286123</xdr:colOff>
      <xdr:row>47</xdr:row>
      <xdr:rowOff>148666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E947B95F-175B-47A9-BABC-394E3902CF33}"/>
            </a:ext>
          </a:extLst>
        </xdr:cNvPr>
        <xdr:cNvSpPr/>
      </xdr:nvSpPr>
      <xdr:spPr>
        <a:xfrm>
          <a:off x="33814124" y="9424520"/>
          <a:ext cx="1460499" cy="40789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Seed = 1337</a:t>
          </a:r>
          <a:endParaRPr lang="en-MY" sz="2000"/>
        </a:p>
      </xdr:txBody>
    </xdr:sp>
    <xdr:clientData/>
  </xdr:twoCellAnchor>
  <xdr:twoCellAnchor>
    <xdr:from>
      <xdr:col>1</xdr:col>
      <xdr:colOff>211845</xdr:colOff>
      <xdr:row>64</xdr:row>
      <xdr:rowOff>164352</xdr:rowOff>
    </xdr:from>
    <xdr:to>
      <xdr:col>3</xdr:col>
      <xdr:colOff>361255</xdr:colOff>
      <xdr:row>67</xdr:row>
      <xdr:rowOff>4484</xdr:rowOff>
    </xdr:to>
    <xdr:sp macro="" textlink="">
      <xdr:nvSpPr>
        <xdr:cNvPr id="19" name="Rectangle 18">
          <a:extLst>
            <a:ext uri="{FF2B5EF4-FFF2-40B4-BE49-F238E27FC236}">
              <a16:creationId xmlns:a16="http://schemas.microsoft.com/office/drawing/2014/main" id="{339DC265-EEC3-41C4-8002-C8B69645D455}"/>
            </a:ext>
          </a:extLst>
        </xdr:cNvPr>
        <xdr:cNvSpPr/>
      </xdr:nvSpPr>
      <xdr:spPr>
        <a:xfrm>
          <a:off x="819631" y="12891566"/>
          <a:ext cx="1355910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(Box)</a:t>
          </a:r>
          <a:endParaRPr lang="en-MY" sz="2000"/>
        </a:p>
      </xdr:txBody>
    </xdr:sp>
    <xdr:clientData/>
  </xdr:twoCellAnchor>
  <xdr:twoCellAnchor>
    <xdr:from>
      <xdr:col>5</xdr:col>
      <xdr:colOff>92636</xdr:colOff>
      <xdr:row>64</xdr:row>
      <xdr:rowOff>159870</xdr:rowOff>
    </xdr:from>
    <xdr:to>
      <xdr:col>7</xdr:col>
      <xdr:colOff>425823</xdr:colOff>
      <xdr:row>67</xdr:row>
      <xdr:rowOff>2</xdr:rowOff>
    </xdr:to>
    <xdr:sp macro="" textlink="">
      <xdr:nvSpPr>
        <xdr:cNvPr id="20" name="Rectangle 19">
          <a:extLst>
            <a:ext uri="{FF2B5EF4-FFF2-40B4-BE49-F238E27FC236}">
              <a16:creationId xmlns:a16="http://schemas.microsoft.com/office/drawing/2014/main" id="{6435DEDF-7250-42B3-AF08-C8C0FC4C5DF9}"/>
            </a:ext>
          </a:extLst>
        </xdr:cNvPr>
        <xdr:cNvSpPr/>
      </xdr:nvSpPr>
      <xdr:spPr>
        <a:xfrm>
          <a:off x="3140636" y="13210988"/>
          <a:ext cx="1558363" cy="400426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(Mask)</a:t>
          </a:r>
          <a:endParaRPr lang="en-MY" sz="2000"/>
        </a:p>
      </xdr:txBody>
    </xdr:sp>
    <xdr:clientData/>
  </xdr:twoCellAnchor>
  <xdr:twoCellAnchor>
    <xdr:from>
      <xdr:col>10</xdr:col>
      <xdr:colOff>29136</xdr:colOff>
      <xdr:row>64</xdr:row>
      <xdr:rowOff>157203</xdr:rowOff>
    </xdr:from>
    <xdr:to>
      <xdr:col>14</xdr:col>
      <xdr:colOff>616857</xdr:colOff>
      <xdr:row>66</xdr:row>
      <xdr:rowOff>178764</xdr:rowOff>
    </xdr:to>
    <xdr:sp macro="" textlink="">
      <xdr:nvSpPr>
        <xdr:cNvPr id="21" name="Rectangle 20">
          <a:extLst>
            <a:ext uri="{FF2B5EF4-FFF2-40B4-BE49-F238E27FC236}">
              <a16:creationId xmlns:a16="http://schemas.microsoft.com/office/drawing/2014/main" id="{ED5651E3-76ED-4F75-B074-EFB142A742C6}"/>
            </a:ext>
          </a:extLst>
        </xdr:cNvPr>
        <xdr:cNvSpPr/>
      </xdr:nvSpPr>
      <xdr:spPr>
        <a:xfrm>
          <a:off x="6097922" y="12884417"/>
          <a:ext cx="3018864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18</xdr:col>
      <xdr:colOff>46745</xdr:colOff>
      <xdr:row>65</xdr:row>
      <xdr:rowOff>8323</xdr:rowOff>
    </xdr:from>
    <xdr:to>
      <xdr:col>20</xdr:col>
      <xdr:colOff>187083</xdr:colOff>
      <xdr:row>67</xdr:row>
      <xdr:rowOff>29884</xdr:rowOff>
    </xdr:to>
    <xdr:sp macro="" textlink="">
      <xdr:nvSpPr>
        <xdr:cNvPr id="22" name="Rectangle 21">
          <a:extLst>
            <a:ext uri="{FF2B5EF4-FFF2-40B4-BE49-F238E27FC236}">
              <a16:creationId xmlns:a16="http://schemas.microsoft.com/office/drawing/2014/main" id="{5C7A0EB8-7FAB-4C38-83DB-6AA7FA76A906}"/>
            </a:ext>
          </a:extLst>
        </xdr:cNvPr>
        <xdr:cNvSpPr/>
      </xdr:nvSpPr>
      <xdr:spPr>
        <a:xfrm>
          <a:off x="11231816" y="12916966"/>
          <a:ext cx="1355910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(Box)</a:t>
          </a:r>
          <a:endParaRPr lang="en-MY" sz="2000"/>
        </a:p>
      </xdr:txBody>
    </xdr:sp>
    <xdr:clientData/>
  </xdr:twoCellAnchor>
  <xdr:twoCellAnchor>
    <xdr:from>
      <xdr:col>22</xdr:col>
      <xdr:colOff>47279</xdr:colOff>
      <xdr:row>65</xdr:row>
      <xdr:rowOff>21131</xdr:rowOff>
    </xdr:from>
    <xdr:to>
      <xdr:col>24</xdr:col>
      <xdr:colOff>380466</xdr:colOff>
      <xdr:row>67</xdr:row>
      <xdr:rowOff>42692</xdr:rowOff>
    </xdr:to>
    <xdr:sp macro="" textlink="">
      <xdr:nvSpPr>
        <xdr:cNvPr id="23" name="Rectangle 22">
          <a:extLst>
            <a:ext uri="{FF2B5EF4-FFF2-40B4-BE49-F238E27FC236}">
              <a16:creationId xmlns:a16="http://schemas.microsoft.com/office/drawing/2014/main" id="{975C9D43-6A0B-44E5-A301-EC6CC9B8EB18}"/>
            </a:ext>
          </a:extLst>
        </xdr:cNvPr>
        <xdr:cNvSpPr/>
      </xdr:nvSpPr>
      <xdr:spPr>
        <a:xfrm>
          <a:off x="13663493" y="12929774"/>
          <a:ext cx="1548759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(Mask)</a:t>
          </a:r>
          <a:endParaRPr lang="en-MY" sz="2000"/>
        </a:p>
      </xdr:txBody>
    </xdr:sp>
    <xdr:clientData/>
  </xdr:twoCellAnchor>
  <xdr:twoCellAnchor>
    <xdr:from>
      <xdr:col>26</xdr:col>
      <xdr:colOff>598822</xdr:colOff>
      <xdr:row>65</xdr:row>
      <xdr:rowOff>19317</xdr:rowOff>
    </xdr:from>
    <xdr:to>
      <xdr:col>32</xdr:col>
      <xdr:colOff>97972</xdr:colOff>
      <xdr:row>67</xdr:row>
      <xdr:rowOff>40878</xdr:rowOff>
    </xdr:to>
    <xdr:sp macro="" textlink="">
      <xdr:nvSpPr>
        <xdr:cNvPr id="24" name="Rectangle 23">
          <a:extLst>
            <a:ext uri="{FF2B5EF4-FFF2-40B4-BE49-F238E27FC236}">
              <a16:creationId xmlns:a16="http://schemas.microsoft.com/office/drawing/2014/main" id="{CA81EFCB-ADC3-403A-B269-9C302E852556}"/>
            </a:ext>
          </a:extLst>
        </xdr:cNvPr>
        <xdr:cNvSpPr/>
      </xdr:nvSpPr>
      <xdr:spPr>
        <a:xfrm>
          <a:off x="16646179" y="12927960"/>
          <a:ext cx="3145864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35</xdr:col>
      <xdr:colOff>46745</xdr:colOff>
      <xdr:row>65</xdr:row>
      <xdr:rowOff>8323</xdr:rowOff>
    </xdr:from>
    <xdr:to>
      <xdr:col>37</xdr:col>
      <xdr:colOff>187083</xdr:colOff>
      <xdr:row>67</xdr:row>
      <xdr:rowOff>29884</xdr:rowOff>
    </xdr:to>
    <xdr:sp macro="" textlink="">
      <xdr:nvSpPr>
        <xdr:cNvPr id="25" name="Rectangle 24">
          <a:extLst>
            <a:ext uri="{FF2B5EF4-FFF2-40B4-BE49-F238E27FC236}">
              <a16:creationId xmlns:a16="http://schemas.microsoft.com/office/drawing/2014/main" id="{C376E892-EB2C-4522-A77B-82F007705923}"/>
            </a:ext>
          </a:extLst>
        </xdr:cNvPr>
        <xdr:cNvSpPr/>
      </xdr:nvSpPr>
      <xdr:spPr>
        <a:xfrm>
          <a:off x="11231816" y="12916966"/>
          <a:ext cx="1355910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(Box)</a:t>
          </a:r>
          <a:endParaRPr lang="en-MY" sz="2000"/>
        </a:p>
      </xdr:txBody>
    </xdr:sp>
    <xdr:clientData/>
  </xdr:twoCellAnchor>
  <xdr:twoCellAnchor>
    <xdr:from>
      <xdr:col>39</xdr:col>
      <xdr:colOff>47279</xdr:colOff>
      <xdr:row>65</xdr:row>
      <xdr:rowOff>21131</xdr:rowOff>
    </xdr:from>
    <xdr:to>
      <xdr:col>41</xdr:col>
      <xdr:colOff>380466</xdr:colOff>
      <xdr:row>67</xdr:row>
      <xdr:rowOff>42692</xdr:rowOff>
    </xdr:to>
    <xdr:sp macro="" textlink="">
      <xdr:nvSpPr>
        <xdr:cNvPr id="26" name="Rectangle 25">
          <a:extLst>
            <a:ext uri="{FF2B5EF4-FFF2-40B4-BE49-F238E27FC236}">
              <a16:creationId xmlns:a16="http://schemas.microsoft.com/office/drawing/2014/main" id="{F21B5645-BF1F-4BFF-9B35-034B977D758A}"/>
            </a:ext>
          </a:extLst>
        </xdr:cNvPr>
        <xdr:cNvSpPr/>
      </xdr:nvSpPr>
      <xdr:spPr>
        <a:xfrm>
          <a:off x="13663493" y="12929774"/>
          <a:ext cx="1548759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(Mask)</a:t>
          </a:r>
          <a:endParaRPr lang="en-MY" sz="2000"/>
        </a:p>
      </xdr:txBody>
    </xdr:sp>
    <xdr:clientData/>
  </xdr:twoCellAnchor>
  <xdr:twoCellAnchor>
    <xdr:from>
      <xdr:col>43</xdr:col>
      <xdr:colOff>598822</xdr:colOff>
      <xdr:row>65</xdr:row>
      <xdr:rowOff>19317</xdr:rowOff>
    </xdr:from>
    <xdr:to>
      <xdr:col>49</xdr:col>
      <xdr:colOff>97972</xdr:colOff>
      <xdr:row>67</xdr:row>
      <xdr:rowOff>40878</xdr:rowOff>
    </xdr:to>
    <xdr:sp macro="" textlink="">
      <xdr:nvSpPr>
        <xdr:cNvPr id="27" name="Rectangle 26">
          <a:extLst>
            <a:ext uri="{FF2B5EF4-FFF2-40B4-BE49-F238E27FC236}">
              <a16:creationId xmlns:a16="http://schemas.microsoft.com/office/drawing/2014/main" id="{10EDDC77-9916-485E-9608-EF8F58731728}"/>
            </a:ext>
          </a:extLst>
        </xdr:cNvPr>
        <xdr:cNvSpPr/>
      </xdr:nvSpPr>
      <xdr:spPr>
        <a:xfrm>
          <a:off x="16646179" y="12927960"/>
          <a:ext cx="3145864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52</xdr:col>
      <xdr:colOff>46745</xdr:colOff>
      <xdr:row>65</xdr:row>
      <xdr:rowOff>8323</xdr:rowOff>
    </xdr:from>
    <xdr:to>
      <xdr:col>54</xdr:col>
      <xdr:colOff>187083</xdr:colOff>
      <xdr:row>67</xdr:row>
      <xdr:rowOff>29884</xdr:rowOff>
    </xdr:to>
    <xdr:sp macro="" textlink="">
      <xdr:nvSpPr>
        <xdr:cNvPr id="28" name="Rectangle 27">
          <a:extLst>
            <a:ext uri="{FF2B5EF4-FFF2-40B4-BE49-F238E27FC236}">
              <a16:creationId xmlns:a16="http://schemas.microsoft.com/office/drawing/2014/main" id="{0A0AB943-A50E-40C1-93CF-FF155CC1B56C}"/>
            </a:ext>
          </a:extLst>
        </xdr:cNvPr>
        <xdr:cNvSpPr/>
      </xdr:nvSpPr>
      <xdr:spPr>
        <a:xfrm>
          <a:off x="11231816" y="12916966"/>
          <a:ext cx="1355910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(Box)</a:t>
          </a:r>
          <a:endParaRPr lang="en-MY" sz="2000"/>
        </a:p>
      </xdr:txBody>
    </xdr:sp>
    <xdr:clientData/>
  </xdr:twoCellAnchor>
  <xdr:twoCellAnchor>
    <xdr:from>
      <xdr:col>56</xdr:col>
      <xdr:colOff>47279</xdr:colOff>
      <xdr:row>65</xdr:row>
      <xdr:rowOff>21131</xdr:rowOff>
    </xdr:from>
    <xdr:to>
      <xdr:col>58</xdr:col>
      <xdr:colOff>380466</xdr:colOff>
      <xdr:row>67</xdr:row>
      <xdr:rowOff>42692</xdr:rowOff>
    </xdr:to>
    <xdr:sp macro="" textlink="">
      <xdr:nvSpPr>
        <xdr:cNvPr id="29" name="Rectangle 28">
          <a:extLst>
            <a:ext uri="{FF2B5EF4-FFF2-40B4-BE49-F238E27FC236}">
              <a16:creationId xmlns:a16="http://schemas.microsoft.com/office/drawing/2014/main" id="{150F99A7-F7E5-406D-9D90-CDF7E1E9752A}"/>
            </a:ext>
          </a:extLst>
        </xdr:cNvPr>
        <xdr:cNvSpPr/>
      </xdr:nvSpPr>
      <xdr:spPr>
        <a:xfrm>
          <a:off x="13663493" y="12929774"/>
          <a:ext cx="1548759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(Mask)</a:t>
          </a:r>
          <a:endParaRPr lang="en-MY" sz="2000"/>
        </a:p>
      </xdr:txBody>
    </xdr:sp>
    <xdr:clientData/>
  </xdr:twoCellAnchor>
  <xdr:twoCellAnchor>
    <xdr:from>
      <xdr:col>60</xdr:col>
      <xdr:colOff>598822</xdr:colOff>
      <xdr:row>65</xdr:row>
      <xdr:rowOff>19317</xdr:rowOff>
    </xdr:from>
    <xdr:to>
      <xdr:col>66</xdr:col>
      <xdr:colOff>97972</xdr:colOff>
      <xdr:row>67</xdr:row>
      <xdr:rowOff>40878</xdr:rowOff>
    </xdr:to>
    <xdr:sp macro="" textlink="">
      <xdr:nvSpPr>
        <xdr:cNvPr id="30" name="Rectangle 29">
          <a:extLst>
            <a:ext uri="{FF2B5EF4-FFF2-40B4-BE49-F238E27FC236}">
              <a16:creationId xmlns:a16="http://schemas.microsoft.com/office/drawing/2014/main" id="{53160F56-32A5-4D69-95E4-64D8A2195842}"/>
            </a:ext>
          </a:extLst>
        </xdr:cNvPr>
        <xdr:cNvSpPr/>
      </xdr:nvSpPr>
      <xdr:spPr>
        <a:xfrm>
          <a:off x="16646179" y="12927960"/>
          <a:ext cx="3145864" cy="384418"/>
        </a:xfrm>
        <a:prstGeom prst="rect">
          <a:avLst/>
        </a:prstGeom>
        <a:solidFill>
          <a:srgbClr val="FFC000"/>
        </a:solidFill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Mean (Total inference time)</a:t>
          </a:r>
          <a:endParaRPr lang="en-MY" sz="2000"/>
        </a:p>
      </xdr:txBody>
    </xdr:sp>
    <xdr:clientData/>
  </xdr:twoCellAnchor>
  <xdr:twoCellAnchor>
    <xdr:from>
      <xdr:col>7</xdr:col>
      <xdr:colOff>17930</xdr:colOff>
      <xdr:row>7</xdr:row>
      <xdr:rowOff>174810</xdr:rowOff>
    </xdr:from>
    <xdr:to>
      <xdr:col>8</xdr:col>
      <xdr:colOff>82176</xdr:colOff>
      <xdr:row>10</xdr:row>
      <xdr:rowOff>14942</xdr:rowOff>
    </xdr:to>
    <xdr:sp macro="" textlink="">
      <xdr:nvSpPr>
        <xdr:cNvPr id="38" name="Rectangle 37">
          <a:extLst>
            <a:ext uri="{FF2B5EF4-FFF2-40B4-BE49-F238E27FC236}">
              <a16:creationId xmlns:a16="http://schemas.microsoft.com/office/drawing/2014/main" id="{921463F7-B18A-4584-B17D-64893330A56F}"/>
            </a:ext>
          </a:extLst>
        </xdr:cNvPr>
        <xdr:cNvSpPr/>
      </xdr:nvSpPr>
      <xdr:spPr>
        <a:xfrm>
          <a:off x="4291106" y="1482163"/>
          <a:ext cx="676835" cy="40042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7</xdr:col>
      <xdr:colOff>65742</xdr:colOff>
      <xdr:row>26</xdr:row>
      <xdr:rowOff>170328</xdr:rowOff>
    </xdr:from>
    <xdr:to>
      <xdr:col>8</xdr:col>
      <xdr:colOff>129988</xdr:colOff>
      <xdr:row>29</xdr:row>
      <xdr:rowOff>10460</xdr:rowOff>
    </xdr:to>
    <xdr:sp macro="" textlink="">
      <xdr:nvSpPr>
        <xdr:cNvPr id="39" name="Rectangle 38">
          <a:extLst>
            <a:ext uri="{FF2B5EF4-FFF2-40B4-BE49-F238E27FC236}">
              <a16:creationId xmlns:a16="http://schemas.microsoft.com/office/drawing/2014/main" id="{85B56658-05FD-4A0B-8806-DBB0FF8F01FF}"/>
            </a:ext>
          </a:extLst>
        </xdr:cNvPr>
        <xdr:cNvSpPr/>
      </xdr:nvSpPr>
      <xdr:spPr>
        <a:xfrm>
          <a:off x="4338918" y="5392269"/>
          <a:ext cx="676835" cy="40042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7</xdr:col>
      <xdr:colOff>373530</xdr:colOff>
      <xdr:row>45</xdr:row>
      <xdr:rowOff>134471</xdr:rowOff>
    </xdr:from>
    <xdr:to>
      <xdr:col>8</xdr:col>
      <xdr:colOff>437776</xdr:colOff>
      <xdr:row>47</xdr:row>
      <xdr:rowOff>161367</xdr:rowOff>
    </xdr:to>
    <xdr:sp macro="" textlink="">
      <xdr:nvSpPr>
        <xdr:cNvPr id="40" name="Rectangle 39">
          <a:extLst>
            <a:ext uri="{FF2B5EF4-FFF2-40B4-BE49-F238E27FC236}">
              <a16:creationId xmlns:a16="http://schemas.microsoft.com/office/drawing/2014/main" id="{71BB84B8-8A1D-4E4C-AEB3-383525C1A318}"/>
            </a:ext>
          </a:extLst>
        </xdr:cNvPr>
        <xdr:cNvSpPr/>
      </xdr:nvSpPr>
      <xdr:spPr>
        <a:xfrm>
          <a:off x="4646706" y="9271000"/>
          <a:ext cx="676835" cy="400426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24</xdr:col>
      <xdr:colOff>42378</xdr:colOff>
      <xdr:row>7</xdr:row>
      <xdr:rowOff>142890</xdr:rowOff>
    </xdr:from>
    <xdr:to>
      <xdr:col>25</xdr:col>
      <xdr:colOff>106624</xdr:colOff>
      <xdr:row>9</xdr:row>
      <xdr:rowOff>167750</xdr:rowOff>
    </xdr:to>
    <xdr:sp macro="" textlink="">
      <xdr:nvSpPr>
        <xdr:cNvPr id="43" name="Rectangle 42">
          <a:extLst>
            <a:ext uri="{FF2B5EF4-FFF2-40B4-BE49-F238E27FC236}">
              <a16:creationId xmlns:a16="http://schemas.microsoft.com/office/drawing/2014/main" id="{6E8805A8-B4CC-43F1-A2BA-66C14C4B1026}"/>
            </a:ext>
          </a:extLst>
        </xdr:cNvPr>
        <xdr:cNvSpPr/>
      </xdr:nvSpPr>
      <xdr:spPr>
        <a:xfrm>
          <a:off x="15074560" y="1435981"/>
          <a:ext cx="676155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24</xdr:col>
      <xdr:colOff>90190</xdr:colOff>
      <xdr:row>26</xdr:row>
      <xdr:rowOff>138408</xdr:rowOff>
    </xdr:from>
    <xdr:to>
      <xdr:col>25</xdr:col>
      <xdr:colOff>154436</xdr:colOff>
      <xdr:row>28</xdr:row>
      <xdr:rowOff>163267</xdr:rowOff>
    </xdr:to>
    <xdr:sp macro="" textlink="">
      <xdr:nvSpPr>
        <xdr:cNvPr id="44" name="Rectangle 43">
          <a:extLst>
            <a:ext uri="{FF2B5EF4-FFF2-40B4-BE49-F238E27FC236}">
              <a16:creationId xmlns:a16="http://schemas.microsoft.com/office/drawing/2014/main" id="{3D107A6B-64FB-4991-96D2-F86EA32F703F}"/>
            </a:ext>
          </a:extLst>
        </xdr:cNvPr>
        <xdr:cNvSpPr/>
      </xdr:nvSpPr>
      <xdr:spPr>
        <a:xfrm>
          <a:off x="15122372" y="5310772"/>
          <a:ext cx="676155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24</xdr:col>
      <xdr:colOff>397978</xdr:colOff>
      <xdr:row>45</xdr:row>
      <xdr:rowOff>102551</xdr:rowOff>
    </xdr:from>
    <xdr:to>
      <xdr:col>25</xdr:col>
      <xdr:colOff>462224</xdr:colOff>
      <xdr:row>47</xdr:row>
      <xdr:rowOff>129447</xdr:rowOff>
    </xdr:to>
    <xdr:sp macro="" textlink="">
      <xdr:nvSpPr>
        <xdr:cNvPr id="45" name="Rectangle 44">
          <a:extLst>
            <a:ext uri="{FF2B5EF4-FFF2-40B4-BE49-F238E27FC236}">
              <a16:creationId xmlns:a16="http://schemas.microsoft.com/office/drawing/2014/main" id="{5D1F29D1-AE65-4E0E-ACEA-CF7F23A753B8}"/>
            </a:ext>
          </a:extLst>
        </xdr:cNvPr>
        <xdr:cNvSpPr/>
      </xdr:nvSpPr>
      <xdr:spPr>
        <a:xfrm>
          <a:off x="15430160" y="9154187"/>
          <a:ext cx="676155" cy="39635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41</xdr:col>
      <xdr:colOff>56233</xdr:colOff>
      <xdr:row>7</xdr:row>
      <xdr:rowOff>133654</xdr:rowOff>
    </xdr:from>
    <xdr:to>
      <xdr:col>42</xdr:col>
      <xdr:colOff>120479</xdr:colOff>
      <xdr:row>9</xdr:row>
      <xdr:rowOff>158514</xdr:rowOff>
    </xdr:to>
    <xdr:sp macro="" textlink="">
      <xdr:nvSpPr>
        <xdr:cNvPr id="46" name="Rectangle 45">
          <a:extLst>
            <a:ext uri="{FF2B5EF4-FFF2-40B4-BE49-F238E27FC236}">
              <a16:creationId xmlns:a16="http://schemas.microsoft.com/office/drawing/2014/main" id="{24B3471D-AAA9-4709-9724-478F52E3FB77}"/>
            </a:ext>
          </a:extLst>
        </xdr:cNvPr>
        <xdr:cNvSpPr/>
      </xdr:nvSpPr>
      <xdr:spPr>
        <a:xfrm>
          <a:off x="25883415" y="1426745"/>
          <a:ext cx="676155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41</xdr:col>
      <xdr:colOff>104045</xdr:colOff>
      <xdr:row>26</xdr:row>
      <xdr:rowOff>129172</xdr:rowOff>
    </xdr:from>
    <xdr:to>
      <xdr:col>42</xdr:col>
      <xdr:colOff>168291</xdr:colOff>
      <xdr:row>28</xdr:row>
      <xdr:rowOff>154031</xdr:rowOff>
    </xdr:to>
    <xdr:sp macro="" textlink="">
      <xdr:nvSpPr>
        <xdr:cNvPr id="47" name="Rectangle 46">
          <a:extLst>
            <a:ext uri="{FF2B5EF4-FFF2-40B4-BE49-F238E27FC236}">
              <a16:creationId xmlns:a16="http://schemas.microsoft.com/office/drawing/2014/main" id="{8D08F542-7C04-4A51-A015-ACC03909B480}"/>
            </a:ext>
          </a:extLst>
        </xdr:cNvPr>
        <xdr:cNvSpPr/>
      </xdr:nvSpPr>
      <xdr:spPr>
        <a:xfrm>
          <a:off x="25931227" y="5301536"/>
          <a:ext cx="676155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41</xdr:col>
      <xdr:colOff>411833</xdr:colOff>
      <xdr:row>45</xdr:row>
      <xdr:rowOff>93315</xdr:rowOff>
    </xdr:from>
    <xdr:to>
      <xdr:col>42</xdr:col>
      <xdr:colOff>476079</xdr:colOff>
      <xdr:row>47</xdr:row>
      <xdr:rowOff>120211</xdr:rowOff>
    </xdr:to>
    <xdr:sp macro="" textlink="">
      <xdr:nvSpPr>
        <xdr:cNvPr id="48" name="Rectangle 47">
          <a:extLst>
            <a:ext uri="{FF2B5EF4-FFF2-40B4-BE49-F238E27FC236}">
              <a16:creationId xmlns:a16="http://schemas.microsoft.com/office/drawing/2014/main" id="{BD9DD47B-D0DC-4CCA-A8AA-DC3186836BE5}"/>
            </a:ext>
          </a:extLst>
        </xdr:cNvPr>
        <xdr:cNvSpPr/>
      </xdr:nvSpPr>
      <xdr:spPr>
        <a:xfrm>
          <a:off x="26239015" y="9144951"/>
          <a:ext cx="676155" cy="39635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58</xdr:col>
      <xdr:colOff>23906</xdr:colOff>
      <xdr:row>7</xdr:row>
      <xdr:rowOff>170599</xdr:rowOff>
    </xdr:from>
    <xdr:to>
      <xdr:col>59</xdr:col>
      <xdr:colOff>88152</xdr:colOff>
      <xdr:row>10</xdr:row>
      <xdr:rowOff>10731</xdr:rowOff>
    </xdr:to>
    <xdr:sp macro="" textlink="">
      <xdr:nvSpPr>
        <xdr:cNvPr id="49" name="Rectangle 48">
          <a:extLst>
            <a:ext uri="{FF2B5EF4-FFF2-40B4-BE49-F238E27FC236}">
              <a16:creationId xmlns:a16="http://schemas.microsoft.com/office/drawing/2014/main" id="{7C2FC9D1-2A32-4770-B45A-AE72B11C0785}"/>
            </a:ext>
          </a:extLst>
        </xdr:cNvPr>
        <xdr:cNvSpPr/>
      </xdr:nvSpPr>
      <xdr:spPr>
        <a:xfrm>
          <a:off x="36507542" y="1463690"/>
          <a:ext cx="676155" cy="394314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R2-1</a:t>
          </a:r>
          <a:endParaRPr lang="en-MY" sz="2000"/>
        </a:p>
      </xdr:txBody>
    </xdr:sp>
    <xdr:clientData/>
  </xdr:twoCellAnchor>
  <xdr:twoCellAnchor>
    <xdr:from>
      <xdr:col>58</xdr:col>
      <xdr:colOff>71718</xdr:colOff>
      <xdr:row>26</xdr:row>
      <xdr:rowOff>166117</xdr:rowOff>
    </xdr:from>
    <xdr:to>
      <xdr:col>59</xdr:col>
      <xdr:colOff>135964</xdr:colOff>
      <xdr:row>29</xdr:row>
      <xdr:rowOff>6249</xdr:rowOff>
    </xdr:to>
    <xdr:sp macro="" textlink="">
      <xdr:nvSpPr>
        <xdr:cNvPr id="50" name="Rectangle 49">
          <a:extLst>
            <a:ext uri="{FF2B5EF4-FFF2-40B4-BE49-F238E27FC236}">
              <a16:creationId xmlns:a16="http://schemas.microsoft.com/office/drawing/2014/main" id="{745F6CAE-FC30-412E-9384-E4BDB1FC4F00}"/>
            </a:ext>
          </a:extLst>
        </xdr:cNvPr>
        <xdr:cNvSpPr/>
      </xdr:nvSpPr>
      <xdr:spPr>
        <a:xfrm>
          <a:off x="36555354" y="5338481"/>
          <a:ext cx="676155" cy="394313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R2-2</a:t>
          </a:r>
          <a:endParaRPr lang="en-MY" sz="2000"/>
        </a:p>
      </xdr:txBody>
    </xdr:sp>
    <xdr:clientData/>
  </xdr:twoCellAnchor>
  <xdr:twoCellAnchor>
    <xdr:from>
      <xdr:col>58</xdr:col>
      <xdr:colOff>379506</xdr:colOff>
      <xdr:row>45</xdr:row>
      <xdr:rowOff>130260</xdr:rowOff>
    </xdr:from>
    <xdr:to>
      <xdr:col>59</xdr:col>
      <xdr:colOff>443752</xdr:colOff>
      <xdr:row>47</xdr:row>
      <xdr:rowOff>157156</xdr:rowOff>
    </xdr:to>
    <xdr:sp macro="" textlink="">
      <xdr:nvSpPr>
        <xdr:cNvPr id="51" name="Rectangle 50">
          <a:extLst>
            <a:ext uri="{FF2B5EF4-FFF2-40B4-BE49-F238E27FC236}">
              <a16:creationId xmlns:a16="http://schemas.microsoft.com/office/drawing/2014/main" id="{7DDEF1D0-DC5D-4CE5-8C46-84C748EFFFFA}"/>
            </a:ext>
          </a:extLst>
        </xdr:cNvPr>
        <xdr:cNvSpPr/>
      </xdr:nvSpPr>
      <xdr:spPr>
        <a:xfrm>
          <a:off x="36863142" y="9181896"/>
          <a:ext cx="676155" cy="396351"/>
        </a:xfrm>
        <a:prstGeom prst="rect">
          <a:avLst/>
        </a:prstGeom>
        <a:ln/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MY" sz="2000" baseline="0"/>
            <a:t>R2-3</a:t>
          </a:r>
          <a:endParaRPr lang="en-MY" sz="2000"/>
        </a:p>
      </xdr:txBody>
    </xdr:sp>
    <xdr:clientData/>
  </xdr:twoCellAnchor>
  <xdr:twoCellAnchor>
    <xdr:from>
      <xdr:col>1</xdr:col>
      <xdr:colOff>57728</xdr:colOff>
      <xdr:row>3</xdr:row>
      <xdr:rowOff>115455</xdr:rowOff>
    </xdr:from>
    <xdr:to>
      <xdr:col>12</xdr:col>
      <xdr:colOff>588818</xdr:colOff>
      <xdr:row>6</xdr:row>
      <xdr:rowOff>115455</xdr:rowOff>
    </xdr:to>
    <xdr:sp macro="" textlink="">
      <xdr:nvSpPr>
        <xdr:cNvPr id="55" name="Rectangle 54">
          <a:extLst>
            <a:ext uri="{FF2B5EF4-FFF2-40B4-BE49-F238E27FC236}">
              <a16:creationId xmlns:a16="http://schemas.microsoft.com/office/drawing/2014/main" id="{4305DCCE-4085-4AA4-A7AB-B68D1B58A673}"/>
            </a:ext>
          </a:extLst>
        </xdr:cNvPr>
        <xdr:cNvSpPr/>
      </xdr:nvSpPr>
      <xdr:spPr>
        <a:xfrm>
          <a:off x="669637" y="1085273"/>
          <a:ext cx="7377545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YOLOv11-s_Instance</a:t>
          </a:r>
          <a:r>
            <a:rPr lang="en-MY" sz="3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Segmentation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18</xdr:col>
      <xdr:colOff>106219</xdr:colOff>
      <xdr:row>3</xdr:row>
      <xdr:rowOff>106219</xdr:rowOff>
    </xdr:from>
    <xdr:to>
      <xdr:col>29</xdr:col>
      <xdr:colOff>521854</xdr:colOff>
      <xdr:row>6</xdr:row>
      <xdr:rowOff>106219</xdr:rowOff>
    </xdr:to>
    <xdr:sp macro="" textlink="">
      <xdr:nvSpPr>
        <xdr:cNvPr id="56" name="Rectangle 55">
          <a:extLst>
            <a:ext uri="{FF2B5EF4-FFF2-40B4-BE49-F238E27FC236}">
              <a16:creationId xmlns:a16="http://schemas.microsoft.com/office/drawing/2014/main" id="{76A7CF85-670C-4A05-93A8-548ECBA7A5E9}"/>
            </a:ext>
          </a:extLst>
        </xdr:cNvPr>
        <xdr:cNvSpPr/>
      </xdr:nvSpPr>
      <xdr:spPr>
        <a:xfrm>
          <a:off x="11674764" y="1076037"/>
          <a:ext cx="7377545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YOLOv11-m_Instance</a:t>
          </a:r>
          <a:r>
            <a:rPr lang="en-MY" sz="3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Segmentation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35</xdr:col>
      <xdr:colOff>62347</xdr:colOff>
      <xdr:row>3</xdr:row>
      <xdr:rowOff>85438</xdr:rowOff>
    </xdr:from>
    <xdr:to>
      <xdr:col>47</xdr:col>
      <xdr:colOff>4619</xdr:colOff>
      <xdr:row>6</xdr:row>
      <xdr:rowOff>85438</xdr:rowOff>
    </xdr:to>
    <xdr:sp macro="" textlink="">
      <xdr:nvSpPr>
        <xdr:cNvPr id="57" name="Rectangle 56">
          <a:extLst>
            <a:ext uri="{FF2B5EF4-FFF2-40B4-BE49-F238E27FC236}">
              <a16:creationId xmlns:a16="http://schemas.microsoft.com/office/drawing/2014/main" id="{F78052B4-1F11-4F5C-9687-81B7242412EA}"/>
            </a:ext>
          </a:extLst>
        </xdr:cNvPr>
        <xdr:cNvSpPr/>
      </xdr:nvSpPr>
      <xdr:spPr>
        <a:xfrm>
          <a:off x="22425892" y="1055256"/>
          <a:ext cx="7377545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YOLOv11-l_Instance</a:t>
          </a:r>
          <a:r>
            <a:rPr lang="en-MY" sz="3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Segmentation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  <xdr:twoCellAnchor>
    <xdr:from>
      <xdr:col>52</xdr:col>
      <xdr:colOff>64655</xdr:colOff>
      <xdr:row>3</xdr:row>
      <xdr:rowOff>122383</xdr:rowOff>
    </xdr:from>
    <xdr:to>
      <xdr:col>63</xdr:col>
      <xdr:colOff>572655</xdr:colOff>
      <xdr:row>6</xdr:row>
      <xdr:rowOff>122383</xdr:rowOff>
    </xdr:to>
    <xdr:sp macro="" textlink="">
      <xdr:nvSpPr>
        <xdr:cNvPr id="58" name="Rectangle 57">
          <a:extLst>
            <a:ext uri="{FF2B5EF4-FFF2-40B4-BE49-F238E27FC236}">
              <a16:creationId xmlns:a16="http://schemas.microsoft.com/office/drawing/2014/main" id="{07A799D5-CD44-4217-B4FD-1048AB75A22F}"/>
            </a:ext>
          </a:extLst>
        </xdr:cNvPr>
        <xdr:cNvSpPr/>
      </xdr:nvSpPr>
      <xdr:spPr>
        <a:xfrm>
          <a:off x="33084655" y="1092201"/>
          <a:ext cx="7377545" cy="554182"/>
        </a:xfrm>
        <a:prstGeom prst="rect">
          <a:avLst/>
        </a:prstGeom>
        <a:solidFill>
          <a:schemeClr val="accent2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MY" sz="3200">
              <a:solidFill>
                <a:schemeClr val="bg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RGB</a:t>
          </a:r>
          <a:r>
            <a:rPr lang="en-MY" sz="3200">
              <a:latin typeface="Times New Roman" panose="02020603050405020304" pitchFamily="18" charset="0"/>
              <a:cs typeface="Times New Roman" panose="02020603050405020304" pitchFamily="18" charset="0"/>
            </a:rPr>
            <a:t>_</a:t>
          </a:r>
          <a:r>
            <a:rPr lang="en-MY" sz="320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YOLOv11-x_Instance</a:t>
          </a:r>
          <a:r>
            <a:rPr lang="en-MY" sz="3200" baseline="0">
              <a:solidFill>
                <a:schemeClr val="tx1"/>
              </a:solidFill>
              <a:latin typeface="Times New Roman" panose="02020603050405020304" pitchFamily="18" charset="0"/>
              <a:cs typeface="Times New Roman" panose="02020603050405020304" pitchFamily="18" charset="0"/>
            </a:rPr>
            <a:t> Segmentation</a:t>
          </a:r>
          <a:endParaRPr lang="en-MY" sz="3200">
            <a:solidFill>
              <a:schemeClr val="tx1"/>
            </a:solidFill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AD9AB-2CE0-4735-9C5A-D831FDA5579D}">
  <dimension ref="B1:BS92"/>
  <sheetViews>
    <sheetView tabSelected="1" zoomScale="70" zoomScaleNormal="70" workbookViewId="0">
      <selection activeCell="BK37" sqref="BK37"/>
    </sheetView>
  </sheetViews>
  <sheetFormatPr defaultRowHeight="14"/>
  <cols>
    <col min="2" max="2" width="9.9140625" customWidth="1"/>
    <col min="4" max="4" width="11" customWidth="1"/>
    <col min="11" max="11" width="14.25" bestFit="1" customWidth="1"/>
    <col min="12" max="12" width="10.9140625" customWidth="1"/>
    <col min="13" max="13" width="11.4140625" bestFit="1" customWidth="1"/>
    <col min="14" max="14" width="13.25" bestFit="1" customWidth="1"/>
    <col min="15" max="15" width="8.9140625" customWidth="1"/>
    <col min="16" max="16" width="8.9140625" bestFit="1" customWidth="1"/>
    <col min="28" max="28" width="10.25" customWidth="1"/>
    <col min="29" max="29" width="11.75" customWidth="1"/>
    <col min="31" max="31" width="10.1640625" customWidth="1"/>
    <col min="32" max="32" width="11.08203125" bestFit="1" customWidth="1"/>
    <col min="33" max="33" width="11.08203125" customWidth="1"/>
    <col min="34" max="34" width="10.1640625" customWidth="1"/>
    <col min="38" max="38" width="9.4140625" customWidth="1"/>
    <col min="46" max="46" width="9.5" customWidth="1"/>
    <col min="47" max="47" width="9.9140625" customWidth="1"/>
    <col min="50" max="50" width="8.9140625" bestFit="1" customWidth="1"/>
    <col min="51" max="52" width="10.25" customWidth="1"/>
    <col min="58" max="58" width="10.75" customWidth="1"/>
    <col min="65" max="65" width="10.08203125" customWidth="1"/>
    <col min="66" max="66" width="10.5" customWidth="1"/>
    <col min="68" max="68" width="10.6640625" customWidth="1"/>
    <col min="69" max="69" width="10.9140625" customWidth="1"/>
    <col min="70" max="70" width="10.25" customWidth="1"/>
  </cols>
  <sheetData>
    <row r="1" spans="2:71" ht="45">
      <c r="B1" s="1" t="s">
        <v>0</v>
      </c>
    </row>
    <row r="8" spans="2:71">
      <c r="B8" t="s">
        <v>1</v>
      </c>
      <c r="C8" s="2" t="s">
        <v>2</v>
      </c>
      <c r="K8" s="7" t="s">
        <v>15</v>
      </c>
      <c r="L8" t="s">
        <v>61</v>
      </c>
      <c r="S8" t="s">
        <v>1</v>
      </c>
      <c r="T8" s="2" t="s">
        <v>28</v>
      </c>
      <c r="AB8" s="7" t="s">
        <v>15</v>
      </c>
      <c r="AD8" t="s">
        <v>61</v>
      </c>
      <c r="AK8" t="s">
        <v>1</v>
      </c>
      <c r="AL8" s="2" t="s">
        <v>29</v>
      </c>
      <c r="AT8" s="7" t="s">
        <v>15</v>
      </c>
      <c r="AV8" t="s">
        <v>61</v>
      </c>
      <c r="BC8" t="s">
        <v>1</v>
      </c>
      <c r="BD8" s="2" t="s">
        <v>30</v>
      </c>
      <c r="BL8" s="7" t="s">
        <v>15</v>
      </c>
      <c r="BN8" t="s">
        <v>61</v>
      </c>
    </row>
    <row r="10" spans="2:71">
      <c r="B10" s="3" t="s">
        <v>3</v>
      </c>
      <c r="C10" s="3" t="s">
        <v>4</v>
      </c>
      <c r="D10" s="3" t="s">
        <v>5</v>
      </c>
      <c r="E10" s="3" t="s">
        <v>6</v>
      </c>
      <c r="F10" s="3" t="s">
        <v>7</v>
      </c>
      <c r="G10" s="3" t="s">
        <v>8</v>
      </c>
      <c r="H10" s="3" t="s">
        <v>9</v>
      </c>
      <c r="I10" s="3" t="s">
        <v>10</v>
      </c>
      <c r="K10" s="3" t="s">
        <v>16</v>
      </c>
      <c r="L10" s="3" t="s">
        <v>17</v>
      </c>
      <c r="M10" s="3" t="s">
        <v>57</v>
      </c>
      <c r="N10" s="3" t="s">
        <v>19</v>
      </c>
      <c r="O10" s="3" t="s">
        <v>20</v>
      </c>
      <c r="P10" s="3" t="s">
        <v>21</v>
      </c>
      <c r="Q10" s="8" t="s">
        <v>22</v>
      </c>
      <c r="S10" s="3" t="s">
        <v>3</v>
      </c>
      <c r="T10" s="3" t="s">
        <v>4</v>
      </c>
      <c r="U10" s="3" t="s">
        <v>5</v>
      </c>
      <c r="V10" s="3" t="s">
        <v>6</v>
      </c>
      <c r="W10" s="3" t="s">
        <v>7</v>
      </c>
      <c r="X10" s="3" t="s">
        <v>8</v>
      </c>
      <c r="Y10" s="3" t="s">
        <v>9</v>
      </c>
      <c r="Z10" s="3" t="s">
        <v>10</v>
      </c>
      <c r="AB10" s="3" t="s">
        <v>16</v>
      </c>
      <c r="AC10" s="3" t="s">
        <v>17</v>
      </c>
      <c r="AD10" s="3" t="s">
        <v>18</v>
      </c>
      <c r="AE10" s="3" t="s">
        <v>19</v>
      </c>
      <c r="AF10" s="3" t="s">
        <v>20</v>
      </c>
      <c r="AG10" s="3" t="s">
        <v>21</v>
      </c>
      <c r="AH10" s="8" t="s">
        <v>22</v>
      </c>
      <c r="AI10" s="33"/>
      <c r="AK10" s="3" t="s">
        <v>3</v>
      </c>
      <c r="AL10" s="3" t="s">
        <v>4</v>
      </c>
      <c r="AM10" s="3" t="s">
        <v>5</v>
      </c>
      <c r="AN10" s="3" t="s">
        <v>6</v>
      </c>
      <c r="AO10" s="3" t="s">
        <v>7</v>
      </c>
      <c r="AP10" s="3" t="s">
        <v>8</v>
      </c>
      <c r="AQ10" s="3" t="s">
        <v>9</v>
      </c>
      <c r="AR10" s="3" t="s">
        <v>10</v>
      </c>
      <c r="AT10" s="3" t="s">
        <v>16</v>
      </c>
      <c r="AU10" s="3" t="s">
        <v>17</v>
      </c>
      <c r="AV10" s="3" t="s">
        <v>18</v>
      </c>
      <c r="AW10" s="3" t="s">
        <v>19</v>
      </c>
      <c r="AX10" s="3" t="s">
        <v>20</v>
      </c>
      <c r="AY10" s="3" t="s">
        <v>21</v>
      </c>
      <c r="AZ10" s="8" t="s">
        <v>22</v>
      </c>
      <c r="BC10" s="3" t="s">
        <v>3</v>
      </c>
      <c r="BD10" s="3" t="s">
        <v>4</v>
      </c>
      <c r="BE10" s="3" t="s">
        <v>5</v>
      </c>
      <c r="BF10" s="3" t="s">
        <v>6</v>
      </c>
      <c r="BG10" s="3" t="s">
        <v>7</v>
      </c>
      <c r="BH10" s="3" t="s">
        <v>8</v>
      </c>
      <c r="BI10" s="3" t="s">
        <v>9</v>
      </c>
      <c r="BJ10" s="3" t="s">
        <v>10</v>
      </c>
      <c r="BL10" s="3" t="s">
        <v>16</v>
      </c>
      <c r="BM10" s="3" t="s">
        <v>17</v>
      </c>
      <c r="BN10" s="3" t="s">
        <v>18</v>
      </c>
      <c r="BO10" s="3" t="s">
        <v>19</v>
      </c>
      <c r="BP10" s="3" t="s">
        <v>20</v>
      </c>
      <c r="BQ10" s="3" t="s">
        <v>21</v>
      </c>
      <c r="BR10" s="8" t="s">
        <v>22</v>
      </c>
      <c r="BS10" s="33"/>
    </row>
    <row r="11" spans="2:71">
      <c r="B11" s="4" t="s">
        <v>11</v>
      </c>
      <c r="C11" s="4">
        <v>630</v>
      </c>
      <c r="D11" s="5">
        <v>10359</v>
      </c>
      <c r="E11" s="4">
        <v>0.83399999999999996</v>
      </c>
      <c r="F11" s="4">
        <v>0.88100000000000001</v>
      </c>
      <c r="G11" s="4">
        <v>0.90300000000000002</v>
      </c>
      <c r="H11" s="4">
        <v>0.65800000000000003</v>
      </c>
      <c r="I11" s="6">
        <f>(2*E11*F11)/(E11+F11)</f>
        <v>0.85685597667638491</v>
      </c>
      <c r="K11" s="4">
        <v>50</v>
      </c>
      <c r="L11" s="4">
        <v>16</v>
      </c>
      <c r="M11" s="4">
        <v>0.27800000000000002</v>
      </c>
      <c r="N11" s="4">
        <v>157</v>
      </c>
      <c r="O11" s="9">
        <v>1763224</v>
      </c>
      <c r="P11" s="9">
        <v>0</v>
      </c>
      <c r="Q11" s="10">
        <v>4.0999999999999996</v>
      </c>
      <c r="S11" s="4" t="s">
        <v>11</v>
      </c>
      <c r="T11" s="4">
        <v>630</v>
      </c>
      <c r="U11" s="5">
        <v>10359</v>
      </c>
      <c r="V11" s="4">
        <v>0.82</v>
      </c>
      <c r="W11" s="4">
        <v>0.878</v>
      </c>
      <c r="X11" s="4">
        <v>0.89600000000000002</v>
      </c>
      <c r="Y11" s="4">
        <v>0.65500000000000003</v>
      </c>
      <c r="Z11" s="6">
        <f>(2*V11*W11)/(V11+W11)</f>
        <v>0.84800942285041214</v>
      </c>
      <c r="AB11" s="4">
        <v>50</v>
      </c>
      <c r="AC11" s="4">
        <v>16</v>
      </c>
      <c r="AD11" s="4">
        <v>0.80500000000000005</v>
      </c>
      <c r="AE11" s="4">
        <v>255</v>
      </c>
      <c r="AF11" s="9">
        <v>6019432</v>
      </c>
      <c r="AG11" s="9">
        <v>6019432</v>
      </c>
      <c r="AH11" s="10">
        <v>13.2</v>
      </c>
      <c r="AI11" s="34"/>
      <c r="AK11" s="4" t="s">
        <v>11</v>
      </c>
      <c r="AL11" s="4">
        <v>630</v>
      </c>
      <c r="AM11" s="5">
        <v>10359</v>
      </c>
      <c r="AN11" s="4">
        <v>0.85499999999999998</v>
      </c>
      <c r="AO11" s="4">
        <v>0.871</v>
      </c>
      <c r="AP11" s="4">
        <v>0.91300000000000003</v>
      </c>
      <c r="AQ11" s="4">
        <v>0.72199999999999998</v>
      </c>
      <c r="AR11" s="6">
        <f>(2*AN11*AO11)/(AN11+AO11)</f>
        <v>0.86292584009269979</v>
      </c>
      <c r="AT11" s="4">
        <v>50</v>
      </c>
      <c r="AU11" s="4">
        <v>16</v>
      </c>
      <c r="AV11" s="4">
        <v>0.33700000000000002</v>
      </c>
      <c r="AW11" s="4">
        <v>129</v>
      </c>
      <c r="AX11" s="9">
        <v>3011433</v>
      </c>
      <c r="AY11" s="9">
        <v>3011417</v>
      </c>
      <c r="AZ11" s="10">
        <v>8.1999999999999993</v>
      </c>
      <c r="BA11" s="33"/>
      <c r="BC11" s="4" t="s">
        <v>11</v>
      </c>
      <c r="BD11" s="4">
        <v>630</v>
      </c>
      <c r="BE11" s="5">
        <v>10359</v>
      </c>
      <c r="BF11" s="4">
        <v>0.86</v>
      </c>
      <c r="BG11" s="4">
        <v>0.872</v>
      </c>
      <c r="BH11" s="4">
        <v>0.91400000000000003</v>
      </c>
      <c r="BI11" s="4">
        <v>0.72499999999999998</v>
      </c>
      <c r="BJ11" s="6">
        <f>(2*BF11*BG11)/(BF11+BG11)</f>
        <v>0.86595842956120095</v>
      </c>
      <c r="BL11" s="4">
        <v>50</v>
      </c>
      <c r="BM11" s="4">
        <v>16</v>
      </c>
      <c r="BN11" s="4">
        <v>0.36599999999999999</v>
      </c>
      <c r="BO11" s="4">
        <v>181</v>
      </c>
      <c r="BP11" s="9">
        <v>2590425</v>
      </c>
      <c r="BQ11" s="9">
        <v>2590425</v>
      </c>
      <c r="BR11" s="10">
        <v>6.4</v>
      </c>
      <c r="BS11" s="34"/>
    </row>
    <row r="12" spans="2:71">
      <c r="B12" s="4" t="s">
        <v>12</v>
      </c>
      <c r="C12" s="4">
        <v>210</v>
      </c>
      <c r="D12" s="5">
        <v>3116</v>
      </c>
      <c r="E12" s="4">
        <v>0.78400000000000003</v>
      </c>
      <c r="F12" s="4">
        <v>0.91700000000000004</v>
      </c>
      <c r="G12" s="4">
        <v>0.91800000000000004</v>
      </c>
      <c r="H12" s="4">
        <v>0.65300000000000002</v>
      </c>
      <c r="I12" s="6">
        <f t="shared" ref="I12:I14" si="0">(2*E12*F12)/(E12+F12)</f>
        <v>0.84530041152263369</v>
      </c>
      <c r="S12" s="4" t="s">
        <v>12</v>
      </c>
      <c r="T12" s="4">
        <v>210</v>
      </c>
      <c r="U12" s="5">
        <v>3116</v>
      </c>
      <c r="V12" s="4">
        <v>0.745</v>
      </c>
      <c r="W12" s="4">
        <v>0.89200000000000002</v>
      </c>
      <c r="X12" s="4">
        <v>0.89200000000000002</v>
      </c>
      <c r="Y12" s="4">
        <v>0.63500000000000001</v>
      </c>
      <c r="Z12" s="6">
        <f t="shared" ref="Z12:Z14" si="1">(2*V12*W12)/(V12+W12)</f>
        <v>0.81189981673793532</v>
      </c>
      <c r="AK12" s="4" t="s">
        <v>12</v>
      </c>
      <c r="AL12" s="4">
        <v>210</v>
      </c>
      <c r="AM12" s="5">
        <v>3116</v>
      </c>
      <c r="AN12" s="4">
        <v>0.84399999999999997</v>
      </c>
      <c r="AO12" s="4">
        <v>0.85399999999999998</v>
      </c>
      <c r="AP12" s="4">
        <v>0.91800000000000004</v>
      </c>
      <c r="AQ12" s="4">
        <v>0.69</v>
      </c>
      <c r="AR12" s="6">
        <f t="shared" ref="AR12:AR14" si="2">(2*AN12*AO12)/(AN12+AO12)</f>
        <v>0.84897055359246176</v>
      </c>
      <c r="BA12" s="34"/>
      <c r="BC12" s="4" t="s">
        <v>12</v>
      </c>
      <c r="BD12" s="4">
        <v>210</v>
      </c>
      <c r="BE12" s="5">
        <v>3116</v>
      </c>
      <c r="BF12" s="4">
        <v>0.83299999999999996</v>
      </c>
      <c r="BG12" s="4">
        <v>0.86699999999999999</v>
      </c>
      <c r="BH12" s="4">
        <v>0.91200000000000003</v>
      </c>
      <c r="BI12" s="4">
        <v>0.69099999999999995</v>
      </c>
      <c r="BJ12" s="6">
        <f t="shared" ref="BJ12:BJ14" si="3">(2*BF12*BG12)/(BF12+BG12)</f>
        <v>0.84965999999999997</v>
      </c>
    </row>
    <row r="13" spans="2:71" ht="42">
      <c r="B13" s="4" t="s">
        <v>13</v>
      </c>
      <c r="C13" s="4">
        <v>210</v>
      </c>
      <c r="D13" s="5">
        <v>6435</v>
      </c>
      <c r="E13" s="4">
        <v>0.92600000000000005</v>
      </c>
      <c r="F13" s="4">
        <v>0.98199999999999998</v>
      </c>
      <c r="G13" s="4">
        <v>0.98899999999999999</v>
      </c>
      <c r="H13" s="4">
        <v>0.76900000000000002</v>
      </c>
      <c r="I13" s="6">
        <f t="shared" si="0"/>
        <v>0.95317819706498963</v>
      </c>
      <c r="K13" s="3" t="s">
        <v>23</v>
      </c>
      <c r="L13" s="11" t="s">
        <v>24</v>
      </c>
      <c r="M13" s="3" t="s">
        <v>25</v>
      </c>
      <c r="N13" s="11" t="s">
        <v>26</v>
      </c>
      <c r="O13" s="3" t="s">
        <v>27</v>
      </c>
      <c r="S13" s="4" t="s">
        <v>13</v>
      </c>
      <c r="T13" s="4">
        <v>210</v>
      </c>
      <c r="U13" s="5">
        <v>6435</v>
      </c>
      <c r="V13" s="4">
        <v>0.92600000000000005</v>
      </c>
      <c r="W13" s="4">
        <v>0.98899999999999999</v>
      </c>
      <c r="X13" s="4">
        <v>0.98899999999999999</v>
      </c>
      <c r="Y13" s="4">
        <v>0.75700000000000001</v>
      </c>
      <c r="Z13" s="6">
        <f t="shared" si="1"/>
        <v>0.95646370757180155</v>
      </c>
      <c r="AB13" s="3" t="s">
        <v>23</v>
      </c>
      <c r="AC13" s="11" t="s">
        <v>24</v>
      </c>
      <c r="AD13" s="3" t="s">
        <v>25</v>
      </c>
      <c r="AE13" s="11" t="s">
        <v>26</v>
      </c>
      <c r="AF13" s="3" t="s">
        <v>27</v>
      </c>
      <c r="AK13" s="4" t="s">
        <v>13</v>
      </c>
      <c r="AL13" s="4">
        <v>210</v>
      </c>
      <c r="AM13" s="5">
        <v>6435</v>
      </c>
      <c r="AN13" s="4">
        <v>0.95</v>
      </c>
      <c r="AO13" s="4">
        <v>0.97</v>
      </c>
      <c r="AP13" s="4">
        <v>0.98899999999999999</v>
      </c>
      <c r="AQ13" s="4">
        <v>0.79200000000000004</v>
      </c>
      <c r="AR13" s="6">
        <f t="shared" si="2"/>
        <v>0.95989583333333339</v>
      </c>
      <c r="AT13" s="3" t="s">
        <v>23</v>
      </c>
      <c r="AU13" s="11" t="s">
        <v>24</v>
      </c>
      <c r="AV13" s="3" t="s">
        <v>25</v>
      </c>
      <c r="AW13" s="11" t="s">
        <v>26</v>
      </c>
      <c r="AX13" s="3" t="s">
        <v>27</v>
      </c>
      <c r="BC13" s="4" t="s">
        <v>13</v>
      </c>
      <c r="BD13" s="4">
        <v>210</v>
      </c>
      <c r="BE13" s="5">
        <v>6435</v>
      </c>
      <c r="BF13" s="4">
        <v>0.95299999999999996</v>
      </c>
      <c r="BG13" s="4">
        <v>0.96599999999999997</v>
      </c>
      <c r="BH13" s="4">
        <v>0.98899999999999999</v>
      </c>
      <c r="BI13" s="4">
        <v>0.79300000000000004</v>
      </c>
      <c r="BJ13" s="6">
        <f t="shared" si="3"/>
        <v>0.95945596664929644</v>
      </c>
      <c r="BL13" s="3" t="s">
        <v>23</v>
      </c>
      <c r="BM13" s="11" t="s">
        <v>24</v>
      </c>
      <c r="BN13" s="3" t="s">
        <v>25</v>
      </c>
      <c r="BO13" s="11" t="s">
        <v>26</v>
      </c>
      <c r="BP13" s="3" t="s">
        <v>27</v>
      </c>
    </row>
    <row r="14" spans="2:71">
      <c r="B14" s="4" t="s">
        <v>14</v>
      </c>
      <c r="C14" s="4">
        <v>210</v>
      </c>
      <c r="D14" s="5">
        <v>808</v>
      </c>
      <c r="E14" s="4">
        <v>0.79100000000000004</v>
      </c>
      <c r="F14" s="4">
        <v>0.745</v>
      </c>
      <c r="G14" s="4">
        <v>0.80200000000000005</v>
      </c>
      <c r="H14" s="4">
        <v>0.55000000000000004</v>
      </c>
      <c r="I14" s="6">
        <f t="shared" si="0"/>
        <v>0.76731119791666669</v>
      </c>
      <c r="K14" s="4">
        <v>0.2</v>
      </c>
      <c r="L14" s="4">
        <v>2.2999999999999998</v>
      </c>
      <c r="M14" s="4">
        <v>2.1</v>
      </c>
      <c r="N14" s="4">
        <f>SUM(K14:M14)</f>
        <v>4.5999999999999996</v>
      </c>
      <c r="O14" s="4" t="s">
        <v>31</v>
      </c>
      <c r="S14" s="4" t="s">
        <v>14</v>
      </c>
      <c r="T14" s="4">
        <v>210</v>
      </c>
      <c r="U14" s="5">
        <v>808</v>
      </c>
      <c r="V14" s="4">
        <v>0.78800000000000003</v>
      </c>
      <c r="W14" s="4">
        <v>0.80700000000000005</v>
      </c>
      <c r="X14" s="4">
        <v>0.80700000000000005</v>
      </c>
      <c r="Y14" s="4">
        <v>0.57299999999999995</v>
      </c>
      <c r="Z14" s="6">
        <f t="shared" si="1"/>
        <v>0.79738683385579934</v>
      </c>
      <c r="AB14" s="4">
        <v>0</v>
      </c>
      <c r="AC14" s="4">
        <v>2.1</v>
      </c>
      <c r="AD14" s="4">
        <v>1.6</v>
      </c>
      <c r="AE14" s="4">
        <f>SUM(AB14:AD14)</f>
        <v>3.7</v>
      </c>
      <c r="AF14" s="4" t="s">
        <v>31</v>
      </c>
      <c r="AK14" s="4" t="s">
        <v>14</v>
      </c>
      <c r="AL14" s="4">
        <v>210</v>
      </c>
      <c r="AM14" s="5">
        <v>808</v>
      </c>
      <c r="AN14" s="4">
        <v>0.77300000000000002</v>
      </c>
      <c r="AO14" s="4">
        <v>0.79</v>
      </c>
      <c r="AP14" s="4">
        <v>0.83299999999999996</v>
      </c>
      <c r="AQ14" s="4">
        <v>0.68400000000000005</v>
      </c>
      <c r="AR14" s="6">
        <f t="shared" si="2"/>
        <v>0.78140754958413305</v>
      </c>
      <c r="AT14" s="4">
        <v>0.1</v>
      </c>
      <c r="AU14" s="4">
        <v>1.3</v>
      </c>
      <c r="AV14" s="4">
        <v>1.3</v>
      </c>
      <c r="AW14" s="4">
        <f>SUM(AT14:AV14)</f>
        <v>2.7</v>
      </c>
      <c r="AX14" s="4" t="s">
        <v>31</v>
      </c>
      <c r="BC14" s="4" t="s">
        <v>14</v>
      </c>
      <c r="BD14" s="4">
        <v>210</v>
      </c>
      <c r="BE14" s="5">
        <v>808</v>
      </c>
      <c r="BF14" s="4">
        <v>0.79500000000000004</v>
      </c>
      <c r="BG14" s="4">
        <v>0.78200000000000003</v>
      </c>
      <c r="BH14" s="4">
        <v>0.84099999999999997</v>
      </c>
      <c r="BI14" s="4">
        <v>0.69</v>
      </c>
      <c r="BJ14" s="6">
        <f t="shared" si="3"/>
        <v>0.78844641724793929</v>
      </c>
      <c r="BL14" s="4">
        <v>0.1</v>
      </c>
      <c r="BM14" s="4">
        <v>1.6</v>
      </c>
      <c r="BN14" s="4">
        <v>1.2</v>
      </c>
      <c r="BO14" s="4">
        <f>SUM(BL14:BN14)</f>
        <v>2.9000000000000004</v>
      </c>
      <c r="BP14" s="4" t="s">
        <v>31</v>
      </c>
    </row>
    <row r="17" spans="2:71">
      <c r="B17" t="s">
        <v>1</v>
      </c>
      <c r="C17" s="2" t="s">
        <v>2</v>
      </c>
      <c r="K17" s="7" t="s">
        <v>15</v>
      </c>
      <c r="L17" t="s">
        <v>61</v>
      </c>
      <c r="S17" t="s">
        <v>1</v>
      </c>
      <c r="T17" s="2" t="s">
        <v>28</v>
      </c>
      <c r="AB17" s="7" t="s">
        <v>15</v>
      </c>
      <c r="AD17" t="s">
        <v>61</v>
      </c>
      <c r="AK17" t="s">
        <v>1</v>
      </c>
      <c r="AL17" s="2" t="s">
        <v>29</v>
      </c>
      <c r="AT17" s="7" t="s">
        <v>15</v>
      </c>
      <c r="AV17" t="s">
        <v>61</v>
      </c>
      <c r="BC17" t="s">
        <v>1</v>
      </c>
      <c r="BD17" s="2" t="s">
        <v>30</v>
      </c>
      <c r="BL17" s="7" t="s">
        <v>15</v>
      </c>
      <c r="BN17" t="s">
        <v>61</v>
      </c>
    </row>
    <row r="19" spans="2:71">
      <c r="B19" s="3" t="s">
        <v>3</v>
      </c>
      <c r="C19" s="3" t="s">
        <v>4</v>
      </c>
      <c r="D19" s="3" t="s">
        <v>5</v>
      </c>
      <c r="E19" s="3" t="s">
        <v>6</v>
      </c>
      <c r="F19" s="3" t="s">
        <v>7</v>
      </c>
      <c r="G19" s="3" t="s">
        <v>8</v>
      </c>
      <c r="H19" s="3" t="s">
        <v>9</v>
      </c>
      <c r="I19" s="3" t="s">
        <v>10</v>
      </c>
      <c r="K19" s="3" t="s">
        <v>16</v>
      </c>
      <c r="L19" s="3" t="s">
        <v>17</v>
      </c>
      <c r="M19" s="3" t="s">
        <v>57</v>
      </c>
      <c r="N19" s="3" t="s">
        <v>19</v>
      </c>
      <c r="O19" s="3" t="s">
        <v>20</v>
      </c>
      <c r="P19" s="3" t="s">
        <v>21</v>
      </c>
      <c r="Q19" s="8" t="s">
        <v>22</v>
      </c>
      <c r="S19" s="3" t="s">
        <v>3</v>
      </c>
      <c r="T19" s="3" t="s">
        <v>4</v>
      </c>
      <c r="U19" s="3" t="s">
        <v>5</v>
      </c>
      <c r="V19" s="3" t="s">
        <v>6</v>
      </c>
      <c r="W19" s="3" t="s">
        <v>7</v>
      </c>
      <c r="X19" s="3" t="s">
        <v>8</v>
      </c>
      <c r="Y19" s="3" t="s">
        <v>9</v>
      </c>
      <c r="Z19" s="3" t="s">
        <v>10</v>
      </c>
      <c r="AB19" s="3" t="s">
        <v>16</v>
      </c>
      <c r="AC19" s="3" t="s">
        <v>17</v>
      </c>
      <c r="AD19" s="3" t="s">
        <v>18</v>
      </c>
      <c r="AE19" s="3" t="s">
        <v>19</v>
      </c>
      <c r="AF19" s="3" t="s">
        <v>20</v>
      </c>
      <c r="AG19" s="3" t="s">
        <v>21</v>
      </c>
      <c r="AH19" s="8" t="s">
        <v>22</v>
      </c>
      <c r="AI19" s="33"/>
      <c r="AK19" s="3" t="s">
        <v>3</v>
      </c>
      <c r="AL19" s="3" t="s">
        <v>4</v>
      </c>
      <c r="AM19" s="3" t="s">
        <v>5</v>
      </c>
      <c r="AN19" s="3" t="s">
        <v>6</v>
      </c>
      <c r="AO19" s="3" t="s">
        <v>7</v>
      </c>
      <c r="AP19" s="3" t="s">
        <v>8</v>
      </c>
      <c r="AQ19" s="3" t="s">
        <v>9</v>
      </c>
      <c r="AR19" s="3" t="s">
        <v>10</v>
      </c>
      <c r="AT19" s="3" t="s">
        <v>16</v>
      </c>
      <c r="AU19" s="3" t="s">
        <v>17</v>
      </c>
      <c r="AV19" s="3" t="s">
        <v>18</v>
      </c>
      <c r="AW19" s="3" t="s">
        <v>19</v>
      </c>
      <c r="AX19" s="3" t="s">
        <v>20</v>
      </c>
      <c r="AY19" s="3" t="s">
        <v>21</v>
      </c>
      <c r="AZ19" s="8" t="s">
        <v>22</v>
      </c>
      <c r="BC19" s="3" t="s">
        <v>3</v>
      </c>
      <c r="BD19" s="3" t="s">
        <v>4</v>
      </c>
      <c r="BE19" s="3" t="s">
        <v>5</v>
      </c>
      <c r="BF19" s="3" t="s">
        <v>6</v>
      </c>
      <c r="BG19" s="3" t="s">
        <v>7</v>
      </c>
      <c r="BH19" s="3" t="s">
        <v>8</v>
      </c>
      <c r="BI19" s="3" t="s">
        <v>9</v>
      </c>
      <c r="BJ19" s="3" t="s">
        <v>10</v>
      </c>
      <c r="BL19" s="3" t="s">
        <v>16</v>
      </c>
      <c r="BM19" s="3" t="s">
        <v>17</v>
      </c>
      <c r="BN19" s="3" t="s">
        <v>18</v>
      </c>
      <c r="BO19" s="3" t="s">
        <v>19</v>
      </c>
      <c r="BP19" s="3" t="s">
        <v>20</v>
      </c>
      <c r="BQ19" s="3" t="s">
        <v>21</v>
      </c>
      <c r="BR19" s="8" t="s">
        <v>22</v>
      </c>
      <c r="BS19" s="33"/>
    </row>
    <row r="20" spans="2:71">
      <c r="B20" s="4" t="s">
        <v>11</v>
      </c>
      <c r="C20" s="4">
        <v>630</v>
      </c>
      <c r="D20" s="5">
        <v>10359</v>
      </c>
      <c r="E20" s="4">
        <v>0.83199999999999996</v>
      </c>
      <c r="F20" s="4">
        <v>0.88800000000000001</v>
      </c>
      <c r="G20" s="4">
        <v>0.89700000000000002</v>
      </c>
      <c r="H20" s="4">
        <v>0.65800000000000003</v>
      </c>
      <c r="I20" s="6">
        <f>(2*E20*F20)/(E20+F20)</f>
        <v>0.85908837209302336</v>
      </c>
      <c r="K20" s="4">
        <v>50</v>
      </c>
      <c r="L20" s="4">
        <v>16</v>
      </c>
      <c r="M20" s="4">
        <v>0.28799999999999998</v>
      </c>
      <c r="N20" s="4">
        <v>157</v>
      </c>
      <c r="O20" s="9">
        <v>1763224</v>
      </c>
      <c r="P20" s="9">
        <v>0</v>
      </c>
      <c r="Q20" s="10">
        <v>4.0999999999999996</v>
      </c>
      <c r="S20" s="4" t="s">
        <v>11</v>
      </c>
      <c r="T20" s="4">
        <v>630</v>
      </c>
      <c r="U20" s="5">
        <v>10359</v>
      </c>
      <c r="V20" s="4">
        <v>0.81599999999999995</v>
      </c>
      <c r="W20" s="4">
        <v>0.88200000000000001</v>
      </c>
      <c r="X20" s="4">
        <v>0.89600000000000002</v>
      </c>
      <c r="Y20" s="4">
        <v>0.65800000000000003</v>
      </c>
      <c r="Z20" s="6">
        <f>(2*V20*W20)/(V20+W20)</f>
        <v>0.84771731448763243</v>
      </c>
      <c r="AB20" s="4">
        <v>50</v>
      </c>
      <c r="AC20" s="4">
        <v>16</v>
      </c>
      <c r="AD20" s="4">
        <v>0.82199999999999995</v>
      </c>
      <c r="AE20" s="4">
        <v>255</v>
      </c>
      <c r="AF20" s="9">
        <v>6019432</v>
      </c>
      <c r="AG20" s="9">
        <v>6019432</v>
      </c>
      <c r="AH20" s="10">
        <v>13.2</v>
      </c>
      <c r="AI20" s="34"/>
      <c r="AK20" s="4" t="s">
        <v>11</v>
      </c>
      <c r="AL20" s="4">
        <v>630</v>
      </c>
      <c r="AM20" s="5">
        <v>10359</v>
      </c>
      <c r="AN20" s="4">
        <v>0.85699999999999998</v>
      </c>
      <c r="AO20" s="4">
        <v>0.875</v>
      </c>
      <c r="AP20" s="4">
        <v>0.91400000000000003</v>
      </c>
      <c r="AQ20" s="4">
        <v>0.72199999999999998</v>
      </c>
      <c r="AR20" s="6">
        <f>(2*AN20*AO20)/(AN20+AO20)</f>
        <v>0.86590646651270209</v>
      </c>
      <c r="AT20" s="4">
        <v>50</v>
      </c>
      <c r="AU20" s="4">
        <v>16</v>
      </c>
      <c r="AV20" s="4">
        <v>0.309</v>
      </c>
      <c r="AW20" s="4">
        <v>181</v>
      </c>
      <c r="AX20" s="9">
        <v>2590425</v>
      </c>
      <c r="AY20" s="9">
        <v>2590425</v>
      </c>
      <c r="AZ20" s="10">
        <v>8.1999999999999993</v>
      </c>
      <c r="BA20" s="33"/>
      <c r="BC20" s="4" t="s">
        <v>11</v>
      </c>
      <c r="BD20" s="4">
        <v>630</v>
      </c>
      <c r="BE20" s="5">
        <v>10359</v>
      </c>
      <c r="BF20" s="4">
        <v>0.86</v>
      </c>
      <c r="BG20" s="4">
        <v>0.872</v>
      </c>
      <c r="BH20" s="4">
        <v>0.91700000000000004</v>
      </c>
      <c r="BI20" s="4">
        <v>0.72799999999999998</v>
      </c>
      <c r="BJ20" s="6">
        <f>(2*BF20*BG20)/(BF20+BG20)</f>
        <v>0.86595842956120095</v>
      </c>
      <c r="BL20" s="4">
        <v>50</v>
      </c>
      <c r="BM20" s="4">
        <v>16</v>
      </c>
      <c r="BN20" s="4">
        <v>0.38500000000000001</v>
      </c>
      <c r="BO20" s="4">
        <v>181</v>
      </c>
      <c r="BP20" s="9">
        <v>2590425</v>
      </c>
      <c r="BQ20" s="9">
        <v>2590425</v>
      </c>
      <c r="BR20" s="10">
        <v>6.4</v>
      </c>
      <c r="BS20" s="34"/>
    </row>
    <row r="21" spans="2:71">
      <c r="B21" s="4" t="s">
        <v>12</v>
      </c>
      <c r="C21" s="4">
        <v>210</v>
      </c>
      <c r="D21" s="5">
        <v>3116</v>
      </c>
      <c r="E21" s="4">
        <v>0.78</v>
      </c>
      <c r="F21" s="4">
        <v>0.91300000000000003</v>
      </c>
      <c r="G21" s="4">
        <v>0.91600000000000004</v>
      </c>
      <c r="H21" s="4">
        <v>0.65700000000000003</v>
      </c>
      <c r="I21" s="6">
        <f t="shared" ref="I21:I23" si="4">(2*E21*F21)/(E21+F21)</f>
        <v>0.84127584170112224</v>
      </c>
      <c r="S21" s="4" t="s">
        <v>12</v>
      </c>
      <c r="T21" s="4">
        <v>210</v>
      </c>
      <c r="U21" s="5">
        <v>3116</v>
      </c>
      <c r="V21" s="4">
        <v>0.748</v>
      </c>
      <c r="W21" s="4">
        <v>0.88</v>
      </c>
      <c r="X21" s="4">
        <v>0.88100000000000001</v>
      </c>
      <c r="Y21" s="4">
        <v>0.629</v>
      </c>
      <c r="Z21" s="6">
        <f t="shared" ref="Z21:Z23" si="5">(2*V21*W21)/(V21+W21)</f>
        <v>0.8086486486486486</v>
      </c>
      <c r="AK21" s="4" t="s">
        <v>12</v>
      </c>
      <c r="AL21" s="4">
        <v>210</v>
      </c>
      <c r="AM21" s="5">
        <v>3116</v>
      </c>
      <c r="AN21" s="4">
        <v>0.85799999999999998</v>
      </c>
      <c r="AO21" s="4">
        <v>0.85499999999999998</v>
      </c>
      <c r="AP21" s="4">
        <v>0.92</v>
      </c>
      <c r="AQ21" s="4">
        <v>0.69399999999999995</v>
      </c>
      <c r="AR21" s="6">
        <f t="shared" ref="AR21:AR23" si="6">(2*AN21*AO21)/(AN21+AO21)</f>
        <v>0.85649737302977225</v>
      </c>
      <c r="BA21" s="34"/>
      <c r="BC21" s="4" t="s">
        <v>12</v>
      </c>
      <c r="BD21" s="4">
        <v>210</v>
      </c>
      <c r="BE21" s="5">
        <v>3116</v>
      </c>
      <c r="BF21" s="4">
        <v>0.83799999999999997</v>
      </c>
      <c r="BG21" s="4">
        <v>0.86199999999999999</v>
      </c>
      <c r="BH21" s="4">
        <v>0.91700000000000004</v>
      </c>
      <c r="BI21" s="4">
        <v>0.69199999999999995</v>
      </c>
      <c r="BJ21" s="6">
        <f t="shared" ref="BJ21:BJ23" si="7">(2*BF21*BG21)/(BF21+BG21)</f>
        <v>0.84983058823529412</v>
      </c>
    </row>
    <row r="22" spans="2:71" ht="42">
      <c r="B22" s="4" t="s">
        <v>13</v>
      </c>
      <c r="C22" s="4">
        <v>210</v>
      </c>
      <c r="D22" s="5">
        <v>6435</v>
      </c>
      <c r="E22" s="4">
        <v>0.92500000000000004</v>
      </c>
      <c r="F22" s="4">
        <v>0.98299999999999998</v>
      </c>
      <c r="G22" s="4">
        <v>0.98899999999999999</v>
      </c>
      <c r="H22" s="4">
        <v>0.77200000000000002</v>
      </c>
      <c r="I22" s="6">
        <f t="shared" si="4"/>
        <v>0.95311844863731665</v>
      </c>
      <c r="K22" s="3" t="s">
        <v>23</v>
      </c>
      <c r="L22" s="11" t="s">
        <v>24</v>
      </c>
      <c r="M22" s="3" t="s">
        <v>25</v>
      </c>
      <c r="N22" s="11" t="s">
        <v>26</v>
      </c>
      <c r="O22" s="3" t="s">
        <v>27</v>
      </c>
      <c r="S22" s="4" t="s">
        <v>13</v>
      </c>
      <c r="T22" s="4">
        <v>210</v>
      </c>
      <c r="U22" s="5">
        <v>6435</v>
      </c>
      <c r="V22" s="4">
        <v>0.93100000000000005</v>
      </c>
      <c r="W22" s="4">
        <v>0.98</v>
      </c>
      <c r="X22" s="4">
        <v>0.98699999999999999</v>
      </c>
      <c r="Y22" s="4">
        <v>0.75800000000000001</v>
      </c>
      <c r="Z22" s="6">
        <f t="shared" si="5"/>
        <v>0.95487179487179497</v>
      </c>
      <c r="AB22" s="3" t="s">
        <v>23</v>
      </c>
      <c r="AC22" s="11" t="s">
        <v>24</v>
      </c>
      <c r="AD22" s="3" t="s">
        <v>25</v>
      </c>
      <c r="AE22" s="11" t="s">
        <v>26</v>
      </c>
      <c r="AF22" s="3" t="s">
        <v>27</v>
      </c>
      <c r="AK22" s="4" t="s">
        <v>13</v>
      </c>
      <c r="AL22" s="4">
        <v>210</v>
      </c>
      <c r="AM22" s="5">
        <v>6435</v>
      </c>
      <c r="AN22" s="4">
        <v>0.95499999999999996</v>
      </c>
      <c r="AO22" s="4">
        <v>0.96499999999999997</v>
      </c>
      <c r="AP22" s="4">
        <v>0.98799999999999999</v>
      </c>
      <c r="AQ22" s="4">
        <v>0.79200000000000004</v>
      </c>
      <c r="AR22" s="6">
        <f t="shared" si="6"/>
        <v>0.95997395833333332</v>
      </c>
      <c r="AT22" s="3" t="s">
        <v>23</v>
      </c>
      <c r="AU22" s="11" t="s">
        <v>24</v>
      </c>
      <c r="AV22" s="3" t="s">
        <v>25</v>
      </c>
      <c r="AW22" s="11" t="s">
        <v>26</v>
      </c>
      <c r="AX22" s="3" t="s">
        <v>27</v>
      </c>
      <c r="BC22" s="4" t="s">
        <v>13</v>
      </c>
      <c r="BD22" s="4">
        <v>210</v>
      </c>
      <c r="BE22" s="5">
        <v>6435</v>
      </c>
      <c r="BF22" s="4">
        <v>0.95399999999999996</v>
      </c>
      <c r="BG22" s="4">
        <v>0.96699999999999997</v>
      </c>
      <c r="BH22" s="4">
        <v>0.98899999999999999</v>
      </c>
      <c r="BI22" s="4">
        <v>0.79400000000000004</v>
      </c>
      <c r="BJ22" s="6">
        <f t="shared" si="7"/>
        <v>0.96045601249349299</v>
      </c>
      <c r="BL22" s="3" t="s">
        <v>23</v>
      </c>
      <c r="BM22" s="11" t="s">
        <v>24</v>
      </c>
      <c r="BN22" s="3" t="s">
        <v>25</v>
      </c>
      <c r="BO22" s="11" t="s">
        <v>26</v>
      </c>
      <c r="BP22" s="3" t="s">
        <v>27</v>
      </c>
    </row>
    <row r="23" spans="2:71">
      <c r="B23" s="4" t="s">
        <v>14</v>
      </c>
      <c r="C23" s="4">
        <v>210</v>
      </c>
      <c r="D23" s="5">
        <v>808</v>
      </c>
      <c r="E23" s="4">
        <v>0.79</v>
      </c>
      <c r="F23" s="4">
        <v>0.76700000000000002</v>
      </c>
      <c r="G23" s="4">
        <v>0.78800000000000003</v>
      </c>
      <c r="H23" s="4">
        <v>0.54400000000000004</v>
      </c>
      <c r="I23" s="6">
        <f t="shared" si="4"/>
        <v>0.7783301220295441</v>
      </c>
      <c r="K23" s="4">
        <v>0.2</v>
      </c>
      <c r="L23" s="4">
        <v>2.7</v>
      </c>
      <c r="M23" s="4">
        <v>2.1</v>
      </c>
      <c r="N23" s="4">
        <f>SUM(K23:M23)</f>
        <v>5</v>
      </c>
      <c r="O23" s="4" t="s">
        <v>31</v>
      </c>
      <c r="S23" s="4" t="s">
        <v>14</v>
      </c>
      <c r="T23" s="4">
        <v>210</v>
      </c>
      <c r="U23" s="5">
        <v>808</v>
      </c>
      <c r="V23" s="4">
        <v>0.76900000000000002</v>
      </c>
      <c r="W23" s="4">
        <v>0.78500000000000003</v>
      </c>
      <c r="X23" s="4">
        <v>0.81899999999999995</v>
      </c>
      <c r="Y23" s="4">
        <v>0.58799999999999997</v>
      </c>
      <c r="Z23" s="6">
        <f t="shared" si="5"/>
        <v>0.77691763191763186</v>
      </c>
      <c r="AB23" s="4">
        <v>0</v>
      </c>
      <c r="AC23" s="4">
        <v>2</v>
      </c>
      <c r="AD23" s="4">
        <v>1.4</v>
      </c>
      <c r="AE23" s="4">
        <f>SUM(AB23:AD23)</f>
        <v>3.4</v>
      </c>
      <c r="AF23" s="4" t="s">
        <v>31</v>
      </c>
      <c r="AK23" s="4" t="s">
        <v>14</v>
      </c>
      <c r="AL23" s="4">
        <v>210</v>
      </c>
      <c r="AM23" s="5">
        <v>808</v>
      </c>
      <c r="AN23" s="4">
        <v>0.75800000000000001</v>
      </c>
      <c r="AO23" s="4">
        <v>0.80600000000000005</v>
      </c>
      <c r="AP23" s="4">
        <v>0.83299999999999996</v>
      </c>
      <c r="AQ23" s="4">
        <v>0.68100000000000005</v>
      </c>
      <c r="AR23" s="6">
        <f t="shared" si="6"/>
        <v>0.78126342710997443</v>
      </c>
      <c r="AT23" s="4">
        <v>0.1</v>
      </c>
      <c r="AU23" s="4">
        <v>1.9</v>
      </c>
      <c r="AV23" s="4">
        <v>1.6</v>
      </c>
      <c r="AW23" s="4">
        <f>SUM(AT23:AV23)</f>
        <v>3.6</v>
      </c>
      <c r="AX23" s="4" t="s">
        <v>31</v>
      </c>
      <c r="BC23" s="4" t="s">
        <v>14</v>
      </c>
      <c r="BD23" s="4">
        <v>210</v>
      </c>
      <c r="BE23" s="5">
        <v>808</v>
      </c>
      <c r="BF23" s="4">
        <v>0.78900000000000003</v>
      </c>
      <c r="BG23" s="4">
        <v>0.78800000000000003</v>
      </c>
      <c r="BH23" s="4">
        <v>0.84399999999999997</v>
      </c>
      <c r="BI23" s="4">
        <v>0.69699999999999995</v>
      </c>
      <c r="BJ23" s="6">
        <f t="shared" si="7"/>
        <v>0.78849968294229555</v>
      </c>
      <c r="BL23" s="4">
        <v>0.2</v>
      </c>
      <c r="BM23" s="4">
        <v>2.1</v>
      </c>
      <c r="BN23" s="4">
        <v>1.1000000000000001</v>
      </c>
      <c r="BO23" s="4">
        <f>SUM(BL23:BN23)</f>
        <v>3.4000000000000004</v>
      </c>
      <c r="BP23" s="4" t="s">
        <v>31</v>
      </c>
    </row>
    <row r="26" spans="2:71">
      <c r="B26" t="s">
        <v>1</v>
      </c>
      <c r="C26" s="2" t="s">
        <v>2</v>
      </c>
      <c r="K26" s="7" t="s">
        <v>15</v>
      </c>
      <c r="L26" t="s">
        <v>61</v>
      </c>
      <c r="S26" t="s">
        <v>1</v>
      </c>
      <c r="T26" s="2" t="s">
        <v>28</v>
      </c>
      <c r="AB26" s="7" t="s">
        <v>15</v>
      </c>
      <c r="AD26" t="s">
        <v>61</v>
      </c>
      <c r="AK26" t="s">
        <v>1</v>
      </c>
      <c r="AL26" s="2" t="s">
        <v>29</v>
      </c>
      <c r="AT26" s="7" t="s">
        <v>15</v>
      </c>
      <c r="AV26" t="s">
        <v>61</v>
      </c>
      <c r="BC26" t="s">
        <v>1</v>
      </c>
      <c r="BD26" s="2" t="s">
        <v>30</v>
      </c>
      <c r="BL26" s="7" t="s">
        <v>15</v>
      </c>
      <c r="BN26" t="s">
        <v>61</v>
      </c>
    </row>
    <row r="28" spans="2:71">
      <c r="B28" s="3" t="s">
        <v>3</v>
      </c>
      <c r="C28" s="3" t="s">
        <v>4</v>
      </c>
      <c r="D28" s="3" t="s">
        <v>5</v>
      </c>
      <c r="E28" s="3" t="s">
        <v>6</v>
      </c>
      <c r="F28" s="3" t="s">
        <v>7</v>
      </c>
      <c r="G28" s="3" t="s">
        <v>8</v>
      </c>
      <c r="H28" s="3" t="s">
        <v>9</v>
      </c>
      <c r="I28" s="3" t="s">
        <v>10</v>
      </c>
      <c r="K28" s="3" t="s">
        <v>16</v>
      </c>
      <c r="L28" s="3" t="s">
        <v>17</v>
      </c>
      <c r="M28" s="3" t="s">
        <v>57</v>
      </c>
      <c r="N28" s="3" t="s">
        <v>19</v>
      </c>
      <c r="O28" s="3" t="s">
        <v>20</v>
      </c>
      <c r="P28" s="3" t="s">
        <v>21</v>
      </c>
      <c r="Q28" s="8" t="s">
        <v>22</v>
      </c>
      <c r="S28" s="3" t="s">
        <v>3</v>
      </c>
      <c r="T28" s="3" t="s">
        <v>4</v>
      </c>
      <c r="U28" s="3" t="s">
        <v>5</v>
      </c>
      <c r="V28" s="3" t="s">
        <v>6</v>
      </c>
      <c r="W28" s="3" t="s">
        <v>7</v>
      </c>
      <c r="X28" s="3" t="s">
        <v>8</v>
      </c>
      <c r="Y28" s="3" t="s">
        <v>9</v>
      </c>
      <c r="Z28" s="3" t="s">
        <v>10</v>
      </c>
      <c r="AB28" s="3" t="s">
        <v>16</v>
      </c>
      <c r="AC28" s="3" t="s">
        <v>17</v>
      </c>
      <c r="AD28" s="3" t="s">
        <v>18</v>
      </c>
      <c r="AE28" s="3" t="s">
        <v>19</v>
      </c>
      <c r="AF28" s="3" t="s">
        <v>20</v>
      </c>
      <c r="AG28" s="3" t="s">
        <v>21</v>
      </c>
      <c r="AH28" s="8" t="s">
        <v>22</v>
      </c>
      <c r="AI28" s="33"/>
      <c r="AK28" s="3" t="s">
        <v>3</v>
      </c>
      <c r="AL28" s="3" t="s">
        <v>4</v>
      </c>
      <c r="AM28" s="3" t="s">
        <v>5</v>
      </c>
      <c r="AN28" s="3" t="s">
        <v>6</v>
      </c>
      <c r="AO28" s="3" t="s">
        <v>7</v>
      </c>
      <c r="AP28" s="3" t="s">
        <v>8</v>
      </c>
      <c r="AQ28" s="3" t="s">
        <v>9</v>
      </c>
      <c r="AR28" s="3" t="s">
        <v>10</v>
      </c>
      <c r="AT28" s="3" t="s">
        <v>16</v>
      </c>
      <c r="AU28" s="3" t="s">
        <v>17</v>
      </c>
      <c r="AV28" s="3" t="s">
        <v>18</v>
      </c>
      <c r="AW28" s="3" t="s">
        <v>19</v>
      </c>
      <c r="AX28" s="3" t="s">
        <v>20</v>
      </c>
      <c r="AY28" s="3" t="s">
        <v>21</v>
      </c>
      <c r="AZ28" s="8" t="s">
        <v>22</v>
      </c>
      <c r="BC28" s="3" t="s">
        <v>3</v>
      </c>
      <c r="BD28" s="3" t="s">
        <v>4</v>
      </c>
      <c r="BE28" s="3" t="s">
        <v>5</v>
      </c>
      <c r="BF28" s="3" t="s">
        <v>6</v>
      </c>
      <c r="BG28" s="3" t="s">
        <v>7</v>
      </c>
      <c r="BH28" s="3" t="s">
        <v>8</v>
      </c>
      <c r="BI28" s="3" t="s">
        <v>9</v>
      </c>
      <c r="BJ28" s="3" t="s">
        <v>10</v>
      </c>
      <c r="BL28" s="3" t="s">
        <v>16</v>
      </c>
      <c r="BM28" s="3" t="s">
        <v>17</v>
      </c>
      <c r="BN28" s="3" t="s">
        <v>18</v>
      </c>
      <c r="BO28" s="3" t="s">
        <v>19</v>
      </c>
      <c r="BP28" s="3" t="s">
        <v>20</v>
      </c>
      <c r="BQ28" s="3" t="s">
        <v>21</v>
      </c>
      <c r="BR28" s="8" t="s">
        <v>22</v>
      </c>
      <c r="BS28" s="33"/>
    </row>
    <row r="29" spans="2:71">
      <c r="B29" s="4" t="s">
        <v>11</v>
      </c>
      <c r="C29" s="4">
        <v>630</v>
      </c>
      <c r="D29" s="5">
        <v>10359</v>
      </c>
      <c r="E29" s="4">
        <v>0.83699999999999997</v>
      </c>
      <c r="F29" s="4">
        <v>0.88100000000000001</v>
      </c>
      <c r="G29" s="4">
        <v>0.9</v>
      </c>
      <c r="H29" s="4">
        <v>0.65700000000000003</v>
      </c>
      <c r="I29" s="6">
        <f>(2*E29*F29)/(E29+F29)</f>
        <v>0.85843655413271247</v>
      </c>
      <c r="K29" s="4">
        <v>50</v>
      </c>
      <c r="L29" s="4">
        <v>16</v>
      </c>
      <c r="M29" s="4">
        <v>0.27600000000000002</v>
      </c>
      <c r="N29" s="4">
        <v>157</v>
      </c>
      <c r="O29" s="9">
        <v>1763224</v>
      </c>
      <c r="P29" s="9">
        <v>0</v>
      </c>
      <c r="Q29" s="10">
        <v>4.0999999999999996</v>
      </c>
      <c r="S29" s="4" t="s">
        <v>11</v>
      </c>
      <c r="T29" s="4">
        <v>630</v>
      </c>
      <c r="U29" s="5">
        <v>10359</v>
      </c>
      <c r="V29" s="4">
        <v>0.82799999999999996</v>
      </c>
      <c r="W29" s="4">
        <v>0.88100000000000001</v>
      </c>
      <c r="X29" s="4">
        <v>0.9</v>
      </c>
      <c r="Y29" s="4">
        <v>0.66</v>
      </c>
      <c r="Z29" s="6">
        <f>(2*V29*W29)/(V29+W29)</f>
        <v>0.85367817437097715</v>
      </c>
      <c r="AB29" s="4">
        <v>50</v>
      </c>
      <c r="AC29" s="4">
        <v>16</v>
      </c>
      <c r="AD29" s="4">
        <v>0.83599999999999997</v>
      </c>
      <c r="AE29" s="4">
        <v>255</v>
      </c>
      <c r="AF29" s="9">
        <v>6019432</v>
      </c>
      <c r="AG29" s="9">
        <v>6019432</v>
      </c>
      <c r="AH29" s="10">
        <v>13.2</v>
      </c>
      <c r="AI29" s="34"/>
      <c r="AK29" s="4" t="s">
        <v>11</v>
      </c>
      <c r="AL29" s="4">
        <v>630</v>
      </c>
      <c r="AM29" s="5">
        <v>10359</v>
      </c>
      <c r="AN29" s="4">
        <v>0.86099999999999999</v>
      </c>
      <c r="AO29" s="4">
        <v>0.874</v>
      </c>
      <c r="AP29" s="4">
        <v>0.91100000000000003</v>
      </c>
      <c r="AQ29" s="4">
        <v>0.72299999999999998</v>
      </c>
      <c r="AR29" s="6">
        <f>(2*AN29*AO29)/(AN29+AO29)</f>
        <v>0.86745129682997124</v>
      </c>
      <c r="AT29" s="4">
        <v>50</v>
      </c>
      <c r="AU29" s="4">
        <v>16</v>
      </c>
      <c r="AV29" s="4">
        <v>0.32900000000000001</v>
      </c>
      <c r="AW29" s="4">
        <v>181</v>
      </c>
      <c r="AX29" s="9">
        <v>2590425</v>
      </c>
      <c r="AY29" s="9">
        <v>2590425</v>
      </c>
      <c r="AZ29" s="10">
        <v>8.1999999999999993</v>
      </c>
      <c r="BA29" s="33"/>
      <c r="BC29" s="4" t="s">
        <v>11</v>
      </c>
      <c r="BD29" s="4">
        <v>630</v>
      </c>
      <c r="BE29" s="5">
        <v>10359</v>
      </c>
      <c r="BF29" s="4">
        <v>0.86</v>
      </c>
      <c r="BG29" s="4">
        <v>0.86899999999999999</v>
      </c>
      <c r="BH29" s="4">
        <v>0.91800000000000004</v>
      </c>
      <c r="BI29" s="4">
        <v>0.72699999999999998</v>
      </c>
      <c r="BJ29" s="6">
        <f>(2*BF29*BG29)/(BF29+BG29)</f>
        <v>0.86447657605552342</v>
      </c>
      <c r="BL29" s="4">
        <v>50</v>
      </c>
      <c r="BM29" s="4">
        <v>16</v>
      </c>
      <c r="BN29" s="4">
        <v>0.36199999999999999</v>
      </c>
      <c r="BO29" s="4">
        <v>181</v>
      </c>
      <c r="BP29" s="9">
        <v>2590425</v>
      </c>
      <c r="BQ29" s="9">
        <v>2590425</v>
      </c>
      <c r="BR29" s="10">
        <v>6.4</v>
      </c>
      <c r="BS29" s="34"/>
    </row>
    <row r="30" spans="2:71">
      <c r="B30" s="4" t="s">
        <v>12</v>
      </c>
      <c r="C30" s="4">
        <v>210</v>
      </c>
      <c r="D30" s="5">
        <v>3116</v>
      </c>
      <c r="E30" s="4">
        <v>0.78600000000000003</v>
      </c>
      <c r="F30" s="4">
        <v>0.92100000000000004</v>
      </c>
      <c r="G30" s="4">
        <v>0.91700000000000004</v>
      </c>
      <c r="H30" s="4">
        <v>0.65300000000000002</v>
      </c>
      <c r="I30" s="6">
        <f t="shared" ref="I30:I32" si="8">(2*E30*F30)/(E30+F30)</f>
        <v>0.84816168717047458</v>
      </c>
      <c r="S30" s="4" t="s">
        <v>12</v>
      </c>
      <c r="T30" s="4">
        <v>210</v>
      </c>
      <c r="U30" s="5">
        <v>3116</v>
      </c>
      <c r="V30" s="4">
        <v>0.76600000000000001</v>
      </c>
      <c r="W30" s="4">
        <v>0.89300000000000002</v>
      </c>
      <c r="X30" s="4">
        <v>0.89900000000000002</v>
      </c>
      <c r="Y30" s="4">
        <v>0.64300000000000002</v>
      </c>
      <c r="Z30" s="6">
        <f t="shared" ref="Z30:Z32" si="9">(2*V30*W30)/(V30+W30)</f>
        <v>0.82463893911995179</v>
      </c>
      <c r="AK30" s="4" t="s">
        <v>12</v>
      </c>
      <c r="AL30" s="4">
        <v>210</v>
      </c>
      <c r="AM30" s="5">
        <v>3116</v>
      </c>
      <c r="AN30" s="4">
        <v>0.84599999999999997</v>
      </c>
      <c r="AO30" s="4">
        <v>0.85799999999999998</v>
      </c>
      <c r="AP30" s="4">
        <v>0.91400000000000003</v>
      </c>
      <c r="AQ30" s="4">
        <v>0.68899999999999995</v>
      </c>
      <c r="AR30" s="6">
        <f t="shared" ref="AR30:AR32" si="10">(2*AN30*AO30)/(AN30+AO30)</f>
        <v>0.85195774647887323</v>
      </c>
      <c r="BA30" s="34"/>
      <c r="BC30" s="4" t="s">
        <v>12</v>
      </c>
      <c r="BD30" s="4">
        <v>210</v>
      </c>
      <c r="BE30" s="5">
        <v>3116</v>
      </c>
      <c r="BF30" s="4">
        <v>0.83699999999999997</v>
      </c>
      <c r="BG30" s="4">
        <v>0.86299999999999999</v>
      </c>
      <c r="BH30" s="4">
        <v>0.91600000000000004</v>
      </c>
      <c r="BI30" s="4">
        <v>0.69199999999999995</v>
      </c>
      <c r="BJ30" s="6">
        <f t="shared" ref="BJ30:BJ32" si="11">(2*BF30*BG30)/(BF30+BG30)</f>
        <v>0.84980117647058817</v>
      </c>
    </row>
    <row r="31" spans="2:71" ht="42">
      <c r="B31" s="4" t="s">
        <v>13</v>
      </c>
      <c r="C31" s="4">
        <v>210</v>
      </c>
      <c r="D31" s="5">
        <v>6435</v>
      </c>
      <c r="E31" s="4">
        <v>0.93300000000000005</v>
      </c>
      <c r="F31" s="4">
        <v>0.97799999999999998</v>
      </c>
      <c r="G31" s="4">
        <v>0.98899999999999999</v>
      </c>
      <c r="H31" s="4">
        <v>0.76900000000000002</v>
      </c>
      <c r="I31" s="6">
        <f t="shared" si="8"/>
        <v>0.95497017268445838</v>
      </c>
      <c r="K31" s="3" t="s">
        <v>23</v>
      </c>
      <c r="L31" s="11" t="s">
        <v>24</v>
      </c>
      <c r="M31" s="3" t="s">
        <v>25</v>
      </c>
      <c r="N31" s="11" t="s">
        <v>26</v>
      </c>
      <c r="O31" s="3" t="s">
        <v>27</v>
      </c>
      <c r="S31" s="4" t="s">
        <v>13</v>
      </c>
      <c r="T31" s="4">
        <v>210</v>
      </c>
      <c r="U31" s="5">
        <v>6435</v>
      </c>
      <c r="V31" s="4">
        <v>0.92900000000000005</v>
      </c>
      <c r="W31" s="4">
        <v>0.98499999999999999</v>
      </c>
      <c r="X31" s="4">
        <v>0.98799999999999999</v>
      </c>
      <c r="Y31" s="4">
        <v>0.755</v>
      </c>
      <c r="Z31" s="6">
        <f t="shared" si="9"/>
        <v>0.95618077324973871</v>
      </c>
      <c r="AB31" s="3" t="s">
        <v>23</v>
      </c>
      <c r="AC31" s="11" t="s">
        <v>24</v>
      </c>
      <c r="AD31" s="3" t="s">
        <v>25</v>
      </c>
      <c r="AE31" s="11" t="s">
        <v>26</v>
      </c>
      <c r="AF31" s="3" t="s">
        <v>27</v>
      </c>
      <c r="AK31" s="4" t="s">
        <v>13</v>
      </c>
      <c r="AL31" s="4">
        <v>210</v>
      </c>
      <c r="AM31" s="5">
        <v>6435</v>
      </c>
      <c r="AN31" s="4">
        <v>0.95599999999999996</v>
      </c>
      <c r="AO31" s="4">
        <v>0.96399999999999997</v>
      </c>
      <c r="AP31" s="4">
        <v>0.98799999999999999</v>
      </c>
      <c r="AQ31" s="4">
        <v>0.79200000000000004</v>
      </c>
      <c r="AR31" s="6">
        <f t="shared" si="10"/>
        <v>0.9599833333333333</v>
      </c>
      <c r="AT31" s="3" t="s">
        <v>23</v>
      </c>
      <c r="AU31" s="11" t="s">
        <v>24</v>
      </c>
      <c r="AV31" s="3" t="s">
        <v>25</v>
      </c>
      <c r="AW31" s="11" t="s">
        <v>26</v>
      </c>
      <c r="AX31" s="3" t="s">
        <v>27</v>
      </c>
      <c r="BC31" s="4" t="s">
        <v>13</v>
      </c>
      <c r="BD31" s="4">
        <v>210</v>
      </c>
      <c r="BE31" s="5">
        <v>6435</v>
      </c>
      <c r="BF31" s="4">
        <v>0.95</v>
      </c>
      <c r="BG31" s="4">
        <v>0.96899999999999997</v>
      </c>
      <c r="BH31" s="4">
        <v>0.98899999999999999</v>
      </c>
      <c r="BI31" s="4">
        <v>0.79300000000000004</v>
      </c>
      <c r="BJ31" s="6">
        <f t="shared" si="11"/>
        <v>0.95940594059405937</v>
      </c>
      <c r="BL31" s="3" t="s">
        <v>23</v>
      </c>
      <c r="BM31" s="11" t="s">
        <v>24</v>
      </c>
      <c r="BN31" s="3" t="s">
        <v>25</v>
      </c>
      <c r="BO31" s="11" t="s">
        <v>26</v>
      </c>
      <c r="BP31" s="3" t="s">
        <v>27</v>
      </c>
    </row>
    <row r="32" spans="2:71">
      <c r="B32" s="4" t="s">
        <v>14</v>
      </c>
      <c r="C32" s="4">
        <v>210</v>
      </c>
      <c r="D32" s="5">
        <v>808</v>
      </c>
      <c r="E32" s="4">
        <v>0.79400000000000004</v>
      </c>
      <c r="F32" s="4">
        <v>0.74299999999999999</v>
      </c>
      <c r="G32" s="4">
        <v>0.79500000000000004</v>
      </c>
      <c r="H32" s="4">
        <v>0.55100000000000005</v>
      </c>
      <c r="I32" s="6">
        <f t="shared" si="8"/>
        <v>0.76765387117761885</v>
      </c>
      <c r="K32" s="4">
        <v>0.2</v>
      </c>
      <c r="L32" s="4">
        <v>2.2000000000000002</v>
      </c>
      <c r="M32" s="4">
        <v>2.1</v>
      </c>
      <c r="N32" s="4">
        <f>SUM(K32:M32)</f>
        <v>4.5</v>
      </c>
      <c r="O32" s="4" t="s">
        <v>31</v>
      </c>
      <c r="S32" s="4" t="s">
        <v>14</v>
      </c>
      <c r="T32" s="4">
        <v>210</v>
      </c>
      <c r="U32" s="5">
        <v>808</v>
      </c>
      <c r="V32" s="4">
        <v>0.78900000000000003</v>
      </c>
      <c r="W32" s="4">
        <v>0.76500000000000001</v>
      </c>
      <c r="X32" s="4">
        <v>0.81399999999999995</v>
      </c>
      <c r="Y32" s="4">
        <v>0.58299999999999996</v>
      </c>
      <c r="Z32" s="6">
        <f t="shared" si="9"/>
        <v>0.77681467181467179</v>
      </c>
      <c r="AB32" s="4">
        <v>0</v>
      </c>
      <c r="AC32" s="4">
        <v>2</v>
      </c>
      <c r="AD32" s="4">
        <v>1.3</v>
      </c>
      <c r="AE32" s="4">
        <f>SUM(AB32:AD32)</f>
        <v>3.3</v>
      </c>
      <c r="AF32" s="4" t="s">
        <v>31</v>
      </c>
      <c r="AK32" s="4" t="s">
        <v>14</v>
      </c>
      <c r="AL32" s="4">
        <v>210</v>
      </c>
      <c r="AM32" s="5">
        <v>808</v>
      </c>
      <c r="AN32" s="4">
        <v>0.78</v>
      </c>
      <c r="AO32" s="4">
        <v>0.80100000000000005</v>
      </c>
      <c r="AP32" s="4">
        <v>0.83099999999999996</v>
      </c>
      <c r="AQ32" s="4">
        <v>0.68700000000000006</v>
      </c>
      <c r="AR32" s="6">
        <f t="shared" si="10"/>
        <v>0.79036053130929795</v>
      </c>
      <c r="AT32" s="4">
        <v>0.1</v>
      </c>
      <c r="AU32" s="4">
        <v>1.8</v>
      </c>
      <c r="AV32" s="4">
        <v>1.3</v>
      </c>
      <c r="AW32" s="4">
        <f>SUM(AT32:AV32)</f>
        <v>3.2</v>
      </c>
      <c r="AX32" s="4" t="s">
        <v>31</v>
      </c>
      <c r="BC32" s="4" t="s">
        <v>14</v>
      </c>
      <c r="BD32" s="4">
        <v>210</v>
      </c>
      <c r="BE32" s="5">
        <v>808</v>
      </c>
      <c r="BF32" s="4">
        <v>0.79300000000000004</v>
      </c>
      <c r="BG32" s="4">
        <v>0.77600000000000002</v>
      </c>
      <c r="BH32" s="4">
        <v>0.84799999999999998</v>
      </c>
      <c r="BI32" s="4">
        <v>0.69499999999999995</v>
      </c>
      <c r="BJ32" s="6">
        <f t="shared" si="11"/>
        <v>0.78440790312300834</v>
      </c>
      <c r="BL32" s="4">
        <v>0.1</v>
      </c>
      <c r="BM32" s="4">
        <v>1.6</v>
      </c>
      <c r="BN32" s="4">
        <v>1.2</v>
      </c>
      <c r="BO32" s="4">
        <f>SUM(BL32:BN32)</f>
        <v>2.9000000000000004</v>
      </c>
      <c r="BP32" s="4" t="s">
        <v>31</v>
      </c>
    </row>
    <row r="37" spans="2:71">
      <c r="B37" s="3" t="s">
        <v>11</v>
      </c>
      <c r="C37" s="12" t="s">
        <v>52</v>
      </c>
      <c r="D37" s="12" t="s">
        <v>53</v>
      </c>
      <c r="K37" s="5"/>
      <c r="L37" s="12" t="s">
        <v>52</v>
      </c>
      <c r="M37" s="12" t="s">
        <v>27</v>
      </c>
      <c r="P37" s="7"/>
      <c r="Q37" s="7"/>
      <c r="S37" s="3" t="s">
        <v>11</v>
      </c>
      <c r="T37" s="12" t="s">
        <v>52</v>
      </c>
      <c r="U37" s="12" t="s">
        <v>53</v>
      </c>
      <c r="AB37" s="5"/>
      <c r="AC37" s="12" t="s">
        <v>52</v>
      </c>
      <c r="AD37" s="12" t="s">
        <v>27</v>
      </c>
      <c r="AG37" s="7"/>
      <c r="AH37" s="7"/>
      <c r="AI37" s="33"/>
      <c r="AK37" s="3" t="s">
        <v>11</v>
      </c>
      <c r="AL37" s="12" t="s">
        <v>52</v>
      </c>
      <c r="AM37" s="12" t="s">
        <v>53</v>
      </c>
      <c r="AT37" s="5"/>
      <c r="AU37" s="12" t="s">
        <v>52</v>
      </c>
      <c r="AV37" s="12" t="s">
        <v>27</v>
      </c>
      <c r="AY37" s="7"/>
      <c r="AZ37" s="7"/>
      <c r="BC37" s="3" t="s">
        <v>11</v>
      </c>
      <c r="BD37" s="12" t="s">
        <v>52</v>
      </c>
      <c r="BE37" s="12" t="s">
        <v>53</v>
      </c>
      <c r="BL37" s="5"/>
      <c r="BM37" s="12" t="s">
        <v>52</v>
      </c>
      <c r="BN37" s="12" t="s">
        <v>27</v>
      </c>
      <c r="BQ37" s="7"/>
      <c r="BR37" s="7"/>
      <c r="BS37" s="33"/>
    </row>
    <row r="38" spans="2:71" ht="28">
      <c r="B38" s="3" t="s">
        <v>6</v>
      </c>
      <c r="C38" s="6">
        <f>AVERAGE(E11,E20,E29)</f>
        <v>0.83433333333333337</v>
      </c>
      <c r="D38" s="6">
        <f>STDEV(E11,E20,E29)</f>
        <v>2.5166114784235852E-3</v>
      </c>
      <c r="K38" s="18" t="s">
        <v>54</v>
      </c>
      <c r="L38" s="19">
        <f>AVERAGE(N14,N23,N32)</f>
        <v>4.7</v>
      </c>
      <c r="M38" s="5" t="s">
        <v>55</v>
      </c>
      <c r="P38" s="23"/>
      <c r="S38" s="3" t="s">
        <v>6</v>
      </c>
      <c r="T38" s="6">
        <f>AVERAGE(V11,V20,V29)</f>
        <v>0.82133333333333336</v>
      </c>
      <c r="U38" s="6">
        <f>STDEV(V11,V20,V29)</f>
        <v>6.1101009266077916E-3</v>
      </c>
      <c r="AB38" s="18" t="s">
        <v>54</v>
      </c>
      <c r="AC38" s="19">
        <f>AVERAGE(AE14,AE23,AE32)</f>
        <v>3.4666666666666663</v>
      </c>
      <c r="AD38" s="5" t="s">
        <v>55</v>
      </c>
      <c r="AG38" s="23"/>
      <c r="AI38" s="34"/>
      <c r="AK38" s="3" t="s">
        <v>6</v>
      </c>
      <c r="AL38" s="6">
        <f>AVERAGE(AN11,AN20,AN29)</f>
        <v>0.85766666666666669</v>
      </c>
      <c r="AM38" s="6">
        <f>STDEV(AN11,AN20,AN29)</f>
        <v>3.0550504633038958E-3</v>
      </c>
      <c r="AT38" s="18" t="s">
        <v>54</v>
      </c>
      <c r="AU38" s="19">
        <f>AVERAGE(AW14,AW23,AW32)</f>
        <v>3.1666666666666665</v>
      </c>
      <c r="AV38" s="5" t="s">
        <v>55</v>
      </c>
      <c r="AY38" s="23"/>
      <c r="BA38" s="33"/>
      <c r="BC38" s="3" t="s">
        <v>6</v>
      </c>
      <c r="BD38" s="6">
        <f>AVERAGE(BF11,BF20,BF29)</f>
        <v>0.86</v>
      </c>
      <c r="BE38" s="6">
        <f>STDEV(BF11,BF20,BF29)</f>
        <v>0</v>
      </c>
      <c r="BL38" s="18" t="s">
        <v>54</v>
      </c>
      <c r="BM38" s="19">
        <f>AVERAGE(BO14,BO23,BO32)</f>
        <v>3.0666666666666669</v>
      </c>
      <c r="BN38" s="5" t="s">
        <v>55</v>
      </c>
      <c r="BQ38" s="23"/>
      <c r="BS38" s="34"/>
    </row>
    <row r="39" spans="2:71">
      <c r="B39" s="3" t="s">
        <v>7</v>
      </c>
      <c r="C39" s="6">
        <f>AVERAGE(F11,F20,F29)</f>
        <v>0.88333333333333341</v>
      </c>
      <c r="D39" s="6">
        <f>STDEV(F11,F20,F29)</f>
        <v>4.0414518843273836E-3</v>
      </c>
      <c r="K39" s="26" t="s">
        <v>18</v>
      </c>
      <c r="L39" s="30">
        <f>AVERAGE(M11,M20,M29)</f>
        <v>0.28066666666666668</v>
      </c>
      <c r="M39" s="5" t="s">
        <v>58</v>
      </c>
      <c r="S39" s="3" t="s">
        <v>7</v>
      </c>
      <c r="T39" s="6">
        <f>AVERAGE(W11,W20,W29)</f>
        <v>0.8803333333333333</v>
      </c>
      <c r="U39" s="6">
        <f>STDEV(W11,W20,W29)</f>
        <v>2.0816659994661348E-3</v>
      </c>
      <c r="AB39" s="26" t="s">
        <v>18</v>
      </c>
      <c r="AC39" s="30">
        <f>AVERAGE(AD11,AD20,AD29)</f>
        <v>0.82100000000000006</v>
      </c>
      <c r="AD39" s="5" t="s">
        <v>58</v>
      </c>
      <c r="AK39" s="3" t="s">
        <v>7</v>
      </c>
      <c r="AL39" s="6">
        <f>AVERAGE(AO11,AO20,AO29)</f>
        <v>0.87333333333333341</v>
      </c>
      <c r="AM39" s="6">
        <f>STDEV(AO11,AO20,AO29)</f>
        <v>2.0816659994661343E-3</v>
      </c>
      <c r="AT39" s="26" t="s">
        <v>18</v>
      </c>
      <c r="AU39" s="30">
        <f>AVERAGE(AV11,AV20,AV29)</f>
        <v>0.32500000000000001</v>
      </c>
      <c r="AV39" s="5" t="s">
        <v>58</v>
      </c>
      <c r="BA39" s="34"/>
      <c r="BC39" s="3" t="s">
        <v>7</v>
      </c>
      <c r="BD39" s="6">
        <f>AVERAGE(BG11,BG20,BG29)</f>
        <v>0.871</v>
      </c>
      <c r="BE39" s="6">
        <f>STDEV(BG11,BG20,BG29)</f>
        <v>1.7320508075688789E-3</v>
      </c>
      <c r="BL39" s="26" t="s">
        <v>18</v>
      </c>
      <c r="BM39" s="30">
        <f>AVERAGE(BN11,BN20,BN29)</f>
        <v>0.371</v>
      </c>
      <c r="BN39" s="5" t="s">
        <v>58</v>
      </c>
    </row>
    <row r="40" spans="2:71">
      <c r="B40" s="3" t="s">
        <v>8</v>
      </c>
      <c r="C40" s="21">
        <f>AVERAGE(G11,G20,G29)</f>
        <v>0.9</v>
      </c>
      <c r="D40" s="6">
        <f>STDEV(G11,G20,G29)</f>
        <v>3.0000000000000027E-3</v>
      </c>
      <c r="K40" s="27"/>
      <c r="L40" s="31">
        <f>L39*60</f>
        <v>16.84</v>
      </c>
      <c r="M40" s="27" t="s">
        <v>59</v>
      </c>
      <c r="S40" s="3" t="s">
        <v>8</v>
      </c>
      <c r="T40" s="21">
        <f>AVERAGE(X11,X20,X29)</f>
        <v>0.89733333333333343</v>
      </c>
      <c r="U40" s="6">
        <f>STDEV(X11,X20,X29)</f>
        <v>2.3094010767585054E-3</v>
      </c>
      <c r="AB40" s="27"/>
      <c r="AC40" s="31">
        <f>AC39*60</f>
        <v>49.260000000000005</v>
      </c>
      <c r="AD40" s="27" t="s">
        <v>59</v>
      </c>
      <c r="AK40" s="3" t="s">
        <v>8</v>
      </c>
      <c r="AL40" s="21">
        <f>AVERAGE(AP11,AP20,AP29)</f>
        <v>0.91266666666666663</v>
      </c>
      <c r="AM40" s="6">
        <f>STDEV(AP11,AP20,AP29)</f>
        <v>1.5275252316519479E-3</v>
      </c>
      <c r="AT40" s="27"/>
      <c r="AU40" s="31">
        <f>AU39*60</f>
        <v>19.5</v>
      </c>
      <c r="AV40" s="27" t="s">
        <v>59</v>
      </c>
      <c r="BC40" s="3" t="s">
        <v>8</v>
      </c>
      <c r="BD40" s="21">
        <f>AVERAGE(BH11,BH20,BH29)</f>
        <v>0.91633333333333333</v>
      </c>
      <c r="BE40" s="6">
        <f>STDEV(BH11,BH20,BH29)</f>
        <v>2.0816659994661343E-3</v>
      </c>
      <c r="BL40" s="27"/>
      <c r="BM40" s="31">
        <f>BM39*60</f>
        <v>22.259999999999998</v>
      </c>
      <c r="BN40" s="27" t="s">
        <v>59</v>
      </c>
    </row>
    <row r="41" spans="2:71">
      <c r="B41" s="3" t="s">
        <v>9</v>
      </c>
      <c r="C41" s="6">
        <f>AVERAGE(H11,H20,H29)</f>
        <v>0.65766666666666673</v>
      </c>
      <c r="D41" s="6">
        <f>STDEV(H11,H20,H29)</f>
        <v>5.7735026918962634E-4</v>
      </c>
      <c r="S41" s="3" t="s">
        <v>9</v>
      </c>
      <c r="T41" s="6">
        <f>AVERAGE(Y11,Y20,Y29)</f>
        <v>0.65766666666666673</v>
      </c>
      <c r="U41" s="6">
        <f>STDEV(Y11,Y20,Y29)</f>
        <v>2.5166114784235852E-3</v>
      </c>
      <c r="AK41" s="3" t="s">
        <v>9</v>
      </c>
      <c r="AL41" s="6">
        <f>AVERAGE(AQ11,AQ20,AQ29)</f>
        <v>0.72233333333333327</v>
      </c>
      <c r="AM41" s="6">
        <f>STDEV(AQ11,AQ20,AQ29)</f>
        <v>5.7735026918962634E-4</v>
      </c>
      <c r="BC41" s="3" t="s">
        <v>9</v>
      </c>
      <c r="BD41" s="6">
        <f>AVERAGE(BI11,BI20,BI29)</f>
        <v>0.72666666666666657</v>
      </c>
      <c r="BE41" s="6">
        <f>STDEV(BI11,BI20,BI29)</f>
        <v>1.5275252316519481E-3</v>
      </c>
    </row>
    <row r="42" spans="2:71">
      <c r="B42" s="3" t="s">
        <v>10</v>
      </c>
      <c r="C42" s="6">
        <f>AVERAGE(I11,I20,I29)</f>
        <v>0.85812696763404028</v>
      </c>
      <c r="D42" s="6">
        <f>STDEV(I11,I20,I29)</f>
        <v>1.1479460676256435E-3</v>
      </c>
      <c r="S42" s="3" t="s">
        <v>10</v>
      </c>
      <c r="T42" s="6">
        <f>AVERAGE(Z11,Z20,Z29)</f>
        <v>0.8498016372363405</v>
      </c>
      <c r="U42" s="6">
        <f>STDEV(Z11,Z20,Z29)</f>
        <v>3.3603551807902267E-3</v>
      </c>
      <c r="AK42" s="3" t="s">
        <v>10</v>
      </c>
      <c r="AL42" s="6">
        <f>AVERAGE(AR11,AR20,AR29)</f>
        <v>0.86542786781179115</v>
      </c>
      <c r="AM42" s="6">
        <f>STDEV(AR11,AR20,AR29)</f>
        <v>2.3003765360510432E-3</v>
      </c>
      <c r="BC42" s="3" t="s">
        <v>10</v>
      </c>
      <c r="BD42" s="6">
        <f>AVERAGE(BJ11,BJ20,BJ29)</f>
        <v>0.86546447839264173</v>
      </c>
      <c r="BE42" s="6">
        <f>STDEV(BJ11,BJ20,BJ29)</f>
        <v>8.555485204025143E-4</v>
      </c>
    </row>
    <row r="43" spans="2:71">
      <c r="N43" s="7"/>
      <c r="O43" s="7"/>
      <c r="AF43" s="7"/>
      <c r="AG43" s="7"/>
      <c r="AX43" s="7"/>
      <c r="AY43" s="7"/>
      <c r="BP43" s="7"/>
      <c r="BQ43" s="7"/>
    </row>
    <row r="44" spans="2:71">
      <c r="B44" s="28"/>
      <c r="C44" s="7"/>
      <c r="D44" s="7"/>
      <c r="M44" s="22"/>
      <c r="N44" s="23"/>
      <c r="T44" s="28"/>
      <c r="U44" s="7"/>
      <c r="V44" s="7"/>
      <c r="AE44" s="22"/>
      <c r="AF44" s="23"/>
      <c r="AL44" s="28"/>
      <c r="AM44" s="7"/>
      <c r="AN44" s="7"/>
      <c r="AW44" s="22"/>
      <c r="AX44" s="23"/>
      <c r="BD44" s="28"/>
      <c r="BE44" s="7"/>
      <c r="BF44" s="7"/>
      <c r="BO44" s="22"/>
      <c r="BP44" s="23"/>
    </row>
    <row r="45" spans="2:71">
      <c r="B45" s="28"/>
      <c r="C45" s="29"/>
      <c r="D45" s="29"/>
      <c r="T45" s="28"/>
      <c r="U45" s="29"/>
      <c r="V45" s="29"/>
      <c r="AL45" s="28"/>
      <c r="AM45" s="29"/>
      <c r="AN45" s="29"/>
      <c r="BD45" s="28"/>
      <c r="BE45" s="29"/>
      <c r="BF45" s="29"/>
    </row>
    <row r="46" spans="2:71">
      <c r="B46" s="28"/>
      <c r="C46" s="29"/>
      <c r="D46" s="29"/>
      <c r="T46" s="28"/>
      <c r="U46" s="29"/>
      <c r="V46" s="29"/>
      <c r="AL46" s="28"/>
      <c r="AM46" s="29"/>
      <c r="AN46" s="29"/>
      <c r="BD46" s="28"/>
      <c r="BE46" s="29"/>
      <c r="BF46" s="29"/>
    </row>
    <row r="47" spans="2:71">
      <c r="B47" s="28"/>
      <c r="C47" s="29"/>
      <c r="D47" s="29"/>
      <c r="T47" s="28"/>
      <c r="U47" s="29"/>
      <c r="V47" s="29"/>
      <c r="AL47" s="28"/>
      <c r="AM47" s="29"/>
      <c r="AN47" s="29"/>
      <c r="BD47" s="28"/>
      <c r="BE47" s="29"/>
      <c r="BF47" s="29"/>
    </row>
    <row r="48" spans="2:71">
      <c r="B48" s="28"/>
      <c r="C48" s="29"/>
      <c r="D48" s="29"/>
      <c r="T48" s="28"/>
      <c r="U48" s="29"/>
      <c r="V48" s="29"/>
      <c r="AL48" s="28"/>
      <c r="AM48" s="29"/>
      <c r="AN48" s="29"/>
      <c r="BD48" s="28"/>
      <c r="BE48" s="29"/>
      <c r="BF48" s="29"/>
    </row>
    <row r="49" spans="2:58">
      <c r="B49" s="28"/>
      <c r="C49" s="29"/>
      <c r="D49" s="29"/>
      <c r="T49" s="28"/>
      <c r="U49" s="29"/>
      <c r="V49" s="29"/>
      <c r="AL49" s="28"/>
      <c r="AM49" s="29"/>
      <c r="AN49" s="29"/>
      <c r="BD49" s="28"/>
      <c r="BE49" s="29"/>
      <c r="BF49" s="29"/>
    </row>
    <row r="89" spans="60:60">
      <c r="BH89" t="s">
        <v>65</v>
      </c>
    </row>
    <row r="90" spans="60:60">
      <c r="BH90" t="s">
        <v>66</v>
      </c>
    </row>
    <row r="91" spans="60:60">
      <c r="BH91" t="s">
        <v>67</v>
      </c>
    </row>
    <row r="92" spans="60:60">
      <c r="BH92" t="s">
        <v>67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B32D0-F9BF-43A3-9306-47084BD422FA}">
  <dimension ref="B1:CG84"/>
  <sheetViews>
    <sheetView zoomScale="55" zoomScaleNormal="55" workbookViewId="0">
      <selection activeCell="O50" sqref="O50"/>
    </sheetView>
  </sheetViews>
  <sheetFormatPr defaultRowHeight="14"/>
  <cols>
    <col min="2" max="2" width="11" customWidth="1"/>
    <col min="3" max="3" width="9.83203125" customWidth="1"/>
    <col min="4" max="4" width="9.5" customWidth="1"/>
    <col min="11" max="11" width="14.1640625" bestFit="1" customWidth="1"/>
    <col min="13" max="13" width="11" bestFit="1" customWidth="1"/>
    <col min="14" max="14" width="9.25" customWidth="1"/>
    <col min="15" max="15" width="23.6640625" bestFit="1" customWidth="1"/>
    <col min="16" max="16" width="8.9140625" bestFit="1" customWidth="1"/>
    <col min="19" max="19" width="9.5" customWidth="1"/>
    <col min="20" max="20" width="9.33203125" customWidth="1"/>
    <col min="28" max="28" width="9.83203125" customWidth="1"/>
    <col min="31" max="31" width="10.25" customWidth="1"/>
    <col min="32" max="32" width="9.6640625" customWidth="1"/>
    <col min="33" max="33" width="9.5" customWidth="1"/>
    <col min="45" max="45" width="9.4140625" customWidth="1"/>
    <col min="55" max="55" width="9.5" customWidth="1"/>
    <col min="62" max="62" width="9.6640625" customWidth="1"/>
    <col min="66" max="66" width="9.25" customWidth="1"/>
    <col min="83" max="83" width="9.33203125" customWidth="1"/>
  </cols>
  <sheetData>
    <row r="1" spans="2:85" ht="45">
      <c r="B1" s="1" t="s">
        <v>34</v>
      </c>
    </row>
    <row r="4" spans="2:85">
      <c r="B4" s="7"/>
      <c r="S4" s="7"/>
      <c r="AJ4" s="7"/>
      <c r="BA4" s="7"/>
      <c r="BR4" s="35"/>
      <c r="BS4" s="7"/>
    </row>
    <row r="11" spans="2:85">
      <c r="B11" t="s">
        <v>32</v>
      </c>
      <c r="C11" s="2" t="s">
        <v>33</v>
      </c>
      <c r="K11" s="7" t="s">
        <v>15</v>
      </c>
      <c r="L11" t="s">
        <v>61</v>
      </c>
      <c r="S11" t="s">
        <v>32</v>
      </c>
      <c r="T11" s="2" t="s">
        <v>33</v>
      </c>
      <c r="AB11" s="7" t="s">
        <v>15</v>
      </c>
      <c r="AD11" t="s">
        <v>61</v>
      </c>
      <c r="AJ11" t="s">
        <v>32</v>
      </c>
      <c r="AK11" s="2" t="s">
        <v>33</v>
      </c>
      <c r="AS11" s="7" t="s">
        <v>15</v>
      </c>
      <c r="AU11" t="s">
        <v>61</v>
      </c>
      <c r="BA11" t="s">
        <v>32</v>
      </c>
      <c r="BB11" s="2" t="s">
        <v>33</v>
      </c>
      <c r="BJ11" s="7" t="s">
        <v>15</v>
      </c>
      <c r="BL11" t="s">
        <v>61</v>
      </c>
      <c r="BR11" t="s">
        <v>1</v>
      </c>
      <c r="BS11" s="2" t="s">
        <v>30</v>
      </c>
      <c r="CA11" s="7" t="s">
        <v>15</v>
      </c>
      <c r="CC11" t="s">
        <v>61</v>
      </c>
    </row>
    <row r="13" spans="2:85">
      <c r="B13" s="12" t="s">
        <v>3</v>
      </c>
      <c r="C13" s="12" t="s">
        <v>4</v>
      </c>
      <c r="D13" s="12" t="s">
        <v>5</v>
      </c>
      <c r="E13" s="12" t="s">
        <v>6</v>
      </c>
      <c r="F13" s="12" t="s">
        <v>7</v>
      </c>
      <c r="G13" s="12" t="s">
        <v>8</v>
      </c>
      <c r="H13" s="12" t="s">
        <v>9</v>
      </c>
      <c r="I13" s="12" t="s">
        <v>10</v>
      </c>
      <c r="K13" s="3" t="s">
        <v>16</v>
      </c>
      <c r="L13" s="3" t="s">
        <v>17</v>
      </c>
      <c r="M13" s="3" t="s">
        <v>57</v>
      </c>
      <c r="N13" s="3" t="s">
        <v>19</v>
      </c>
      <c r="O13" s="3" t="s">
        <v>20</v>
      </c>
      <c r="P13" s="3" t="s">
        <v>21</v>
      </c>
      <c r="Q13" s="8" t="s">
        <v>22</v>
      </c>
      <c r="S13" s="3" t="s">
        <v>3</v>
      </c>
      <c r="T13" s="3" t="s">
        <v>4</v>
      </c>
      <c r="U13" s="3" t="s">
        <v>5</v>
      </c>
      <c r="V13" s="3" t="s">
        <v>6</v>
      </c>
      <c r="W13" s="3" t="s">
        <v>7</v>
      </c>
      <c r="X13" s="3" t="s">
        <v>8</v>
      </c>
      <c r="Y13" s="3" t="s">
        <v>9</v>
      </c>
      <c r="Z13" s="3" t="s">
        <v>10</v>
      </c>
      <c r="AB13" s="3" t="s">
        <v>16</v>
      </c>
      <c r="AC13" s="3" t="s">
        <v>17</v>
      </c>
      <c r="AD13" s="3" t="s">
        <v>57</v>
      </c>
      <c r="AE13" s="3" t="s">
        <v>19</v>
      </c>
      <c r="AF13" s="3" t="s">
        <v>20</v>
      </c>
      <c r="AG13" s="3" t="s">
        <v>21</v>
      </c>
      <c r="AH13" s="8" t="s">
        <v>22</v>
      </c>
      <c r="AJ13" s="12" t="s">
        <v>3</v>
      </c>
      <c r="AK13" s="12" t="s">
        <v>4</v>
      </c>
      <c r="AL13" s="12" t="s">
        <v>5</v>
      </c>
      <c r="AM13" s="12" t="s">
        <v>6</v>
      </c>
      <c r="AN13" s="12" t="s">
        <v>7</v>
      </c>
      <c r="AO13" s="12" t="s">
        <v>8</v>
      </c>
      <c r="AP13" s="12" t="s">
        <v>9</v>
      </c>
      <c r="AQ13" s="12" t="s">
        <v>10</v>
      </c>
      <c r="AS13" s="3" t="s">
        <v>16</v>
      </c>
      <c r="AT13" s="3" t="s">
        <v>17</v>
      </c>
      <c r="AU13" s="3" t="s">
        <v>57</v>
      </c>
      <c r="AV13" s="3" t="s">
        <v>19</v>
      </c>
      <c r="AW13" s="3" t="s">
        <v>20</v>
      </c>
      <c r="AX13" s="3" t="s">
        <v>21</v>
      </c>
      <c r="AY13" s="8" t="s">
        <v>22</v>
      </c>
      <c r="BA13" s="3" t="s">
        <v>3</v>
      </c>
      <c r="BB13" s="3" t="s">
        <v>4</v>
      </c>
      <c r="BC13" s="3" t="s">
        <v>5</v>
      </c>
      <c r="BD13" s="3" t="s">
        <v>6</v>
      </c>
      <c r="BE13" s="3" t="s">
        <v>7</v>
      </c>
      <c r="BF13" s="3" t="s">
        <v>8</v>
      </c>
      <c r="BG13" s="3" t="s">
        <v>9</v>
      </c>
      <c r="BH13" s="3" t="s">
        <v>10</v>
      </c>
      <c r="BJ13" s="3" t="s">
        <v>16</v>
      </c>
      <c r="BK13" s="3" t="s">
        <v>17</v>
      </c>
      <c r="BL13" s="3" t="s">
        <v>57</v>
      </c>
      <c r="BM13" s="3" t="s">
        <v>19</v>
      </c>
      <c r="BN13" s="3" t="s">
        <v>20</v>
      </c>
      <c r="BO13" s="3" t="s">
        <v>21</v>
      </c>
      <c r="BP13" s="8" t="s">
        <v>22</v>
      </c>
      <c r="BR13" s="3" t="s">
        <v>3</v>
      </c>
      <c r="BS13" s="3" t="s">
        <v>4</v>
      </c>
      <c r="BT13" s="3" t="s">
        <v>5</v>
      </c>
      <c r="BU13" s="3" t="s">
        <v>6</v>
      </c>
      <c r="BV13" s="3" t="s">
        <v>7</v>
      </c>
      <c r="BW13" s="3" t="s">
        <v>8</v>
      </c>
      <c r="BX13" s="3" t="s">
        <v>9</v>
      </c>
      <c r="BY13" s="3" t="s">
        <v>10</v>
      </c>
      <c r="CA13" s="3" t="s">
        <v>16</v>
      </c>
      <c r="CB13" s="3" t="s">
        <v>17</v>
      </c>
      <c r="CC13" s="3" t="s">
        <v>57</v>
      </c>
      <c r="CD13" s="3" t="s">
        <v>19</v>
      </c>
      <c r="CE13" s="3" t="s">
        <v>20</v>
      </c>
      <c r="CF13" s="3" t="s">
        <v>21</v>
      </c>
      <c r="CG13" s="8" t="s">
        <v>22</v>
      </c>
    </row>
    <row r="14" spans="2:85">
      <c r="B14" s="5" t="s">
        <v>11</v>
      </c>
      <c r="C14" s="5">
        <v>630</v>
      </c>
      <c r="D14" s="5">
        <v>3078</v>
      </c>
      <c r="E14" s="5">
        <v>0.59899999999999998</v>
      </c>
      <c r="F14" s="5">
        <v>0.72499999999999998</v>
      </c>
      <c r="G14" s="5">
        <v>0.71699999999999997</v>
      </c>
      <c r="H14" s="5">
        <v>0.53100000000000003</v>
      </c>
      <c r="I14" s="13">
        <f>(2*E14*F14)/(E14+F14)</f>
        <v>0.65600453172205442</v>
      </c>
      <c r="K14" s="4">
        <v>50</v>
      </c>
      <c r="L14" s="4">
        <v>16</v>
      </c>
      <c r="M14" s="4">
        <v>0.38800000000000001</v>
      </c>
      <c r="N14" s="4">
        <v>181</v>
      </c>
      <c r="O14" s="9">
        <v>2590425</v>
      </c>
      <c r="P14" s="9">
        <v>2590425</v>
      </c>
      <c r="Q14" s="10">
        <v>6.4</v>
      </c>
      <c r="S14" s="4" t="s">
        <v>11</v>
      </c>
      <c r="T14" s="5">
        <v>630</v>
      </c>
      <c r="U14" s="5">
        <v>6363</v>
      </c>
      <c r="V14" s="4">
        <v>0.57899999999999996</v>
      </c>
      <c r="W14" s="4">
        <v>0.59899999999999998</v>
      </c>
      <c r="X14" s="4">
        <v>0.61399999999999999</v>
      </c>
      <c r="Y14" s="4">
        <v>0.41799999999999998</v>
      </c>
      <c r="Z14" s="6">
        <f>(2*V14*W14)/(V14+W14)</f>
        <v>0.58883022071307289</v>
      </c>
      <c r="AB14" s="4">
        <v>50</v>
      </c>
      <c r="AC14" s="4">
        <v>16</v>
      </c>
      <c r="AD14" s="4">
        <v>0.378</v>
      </c>
      <c r="AE14" s="4">
        <v>181</v>
      </c>
      <c r="AF14" s="9">
        <v>2590425</v>
      </c>
      <c r="AG14" s="9">
        <v>2590425</v>
      </c>
      <c r="AH14" s="10">
        <v>6.4</v>
      </c>
      <c r="AJ14" s="5" t="s">
        <v>11</v>
      </c>
      <c r="AK14" s="5">
        <v>630</v>
      </c>
      <c r="AL14" s="5">
        <v>5077</v>
      </c>
      <c r="AM14" s="5">
        <v>0.621</v>
      </c>
      <c r="AN14" s="5">
        <v>0.68700000000000006</v>
      </c>
      <c r="AO14" s="5">
        <v>0.70199999999999996</v>
      </c>
      <c r="AP14" s="5">
        <v>0.52</v>
      </c>
      <c r="AQ14" s="13">
        <f>(2*AM14*AN14)/(AM14+AN14)</f>
        <v>0.65233486238532112</v>
      </c>
      <c r="AS14" s="4">
        <v>50</v>
      </c>
      <c r="AT14" s="4">
        <v>16</v>
      </c>
      <c r="AU14" s="4">
        <v>0.34599999999999997</v>
      </c>
      <c r="AV14" s="4">
        <v>181</v>
      </c>
      <c r="AW14" s="9">
        <v>2590425</v>
      </c>
      <c r="AX14" s="9">
        <v>2590425</v>
      </c>
      <c r="AY14" s="10">
        <v>6.4</v>
      </c>
      <c r="BA14" s="4" t="s">
        <v>11</v>
      </c>
      <c r="BB14" s="5">
        <v>630</v>
      </c>
      <c r="BC14" s="5">
        <v>5064</v>
      </c>
      <c r="BD14" s="4">
        <v>0.70499999999999996</v>
      </c>
      <c r="BE14" s="4">
        <v>0.77100000000000002</v>
      </c>
      <c r="BF14" s="4">
        <v>0.79900000000000004</v>
      </c>
      <c r="BG14" s="4">
        <v>0.57599999999999996</v>
      </c>
      <c r="BH14" s="6">
        <f>(2*BD14*BE14)/(BD14+BE14)</f>
        <v>0.73652439024390248</v>
      </c>
      <c r="BJ14" s="4">
        <v>50</v>
      </c>
      <c r="BK14" s="4">
        <v>16</v>
      </c>
      <c r="BL14" s="4">
        <v>0.39</v>
      </c>
      <c r="BM14" s="4">
        <v>181</v>
      </c>
      <c r="BN14" s="9">
        <v>2590425</v>
      </c>
      <c r="BO14" s="9">
        <v>2590425</v>
      </c>
      <c r="BP14" s="10">
        <v>6.4</v>
      </c>
      <c r="BR14" s="4" t="s">
        <v>11</v>
      </c>
      <c r="BS14" s="4">
        <v>630</v>
      </c>
      <c r="BT14" s="5">
        <v>10359</v>
      </c>
      <c r="BU14" s="4">
        <v>0.86</v>
      </c>
      <c r="BV14" s="4">
        <v>0.872</v>
      </c>
      <c r="BW14" s="4">
        <v>0.91400000000000003</v>
      </c>
      <c r="BX14" s="4">
        <v>0.72499999999999998</v>
      </c>
      <c r="BY14" s="6">
        <f>(2*BU14*BV14)/(BU14+BV14)</f>
        <v>0.86595842956120095</v>
      </c>
      <c r="CA14" s="4">
        <v>50</v>
      </c>
      <c r="CB14" s="4">
        <v>16</v>
      </c>
      <c r="CC14" s="4">
        <v>0.36599999999999999</v>
      </c>
      <c r="CD14" s="4">
        <v>181</v>
      </c>
      <c r="CE14" s="9">
        <v>2590425</v>
      </c>
      <c r="CF14" s="9">
        <v>2590425</v>
      </c>
      <c r="CG14" s="10">
        <v>6.4</v>
      </c>
    </row>
    <row r="15" spans="2:85">
      <c r="B15" s="5" t="s">
        <v>12</v>
      </c>
      <c r="C15" s="5">
        <v>210</v>
      </c>
      <c r="D15" s="5">
        <v>1932</v>
      </c>
      <c r="E15" s="5">
        <v>0.57299999999999995</v>
      </c>
      <c r="F15" s="5">
        <v>0.81399999999999995</v>
      </c>
      <c r="G15" s="5">
        <v>0.76800000000000002</v>
      </c>
      <c r="H15" s="5">
        <v>0.56399999999999995</v>
      </c>
      <c r="I15" s="13">
        <f t="shared" ref="I15:I17" si="0">(2*E15*F15)/(E15+F15)</f>
        <v>0.67256236481614984</v>
      </c>
      <c r="S15" s="4" t="s">
        <v>12</v>
      </c>
      <c r="T15" s="5">
        <v>210</v>
      </c>
      <c r="U15" s="5">
        <v>2213</v>
      </c>
      <c r="V15" s="4">
        <v>0.58899999999999997</v>
      </c>
      <c r="W15" s="4">
        <v>0.85299999999999998</v>
      </c>
      <c r="X15" s="4">
        <v>0.80800000000000005</v>
      </c>
      <c r="Y15" s="4">
        <v>0.59</v>
      </c>
      <c r="Z15" s="6">
        <f>(2*V15*W15)/(V15+W15)</f>
        <v>0.69683356449375866</v>
      </c>
      <c r="AJ15" s="5" t="s">
        <v>12</v>
      </c>
      <c r="AK15" s="5">
        <v>210</v>
      </c>
      <c r="AL15" s="5">
        <v>2213</v>
      </c>
      <c r="AM15" s="5">
        <v>0.628</v>
      </c>
      <c r="AN15" s="5">
        <v>0.80600000000000005</v>
      </c>
      <c r="AO15" s="5">
        <v>0.80200000000000005</v>
      </c>
      <c r="AP15" s="5">
        <v>0.58699999999999997</v>
      </c>
      <c r="AQ15" s="13">
        <f t="shared" ref="AQ15:AQ17" si="1">(2*AM15*AN15)/(AM15+AN15)</f>
        <v>0.70595258019525797</v>
      </c>
      <c r="BA15" s="4" t="s">
        <v>12</v>
      </c>
      <c r="BB15" s="5">
        <v>210</v>
      </c>
      <c r="BC15" s="5">
        <v>3116</v>
      </c>
      <c r="BD15" s="4">
        <v>0.751</v>
      </c>
      <c r="BE15" s="4">
        <v>0.91900000000000004</v>
      </c>
      <c r="BF15" s="4">
        <v>0.91100000000000003</v>
      </c>
      <c r="BG15" s="4">
        <v>0.68600000000000005</v>
      </c>
      <c r="BH15" s="6">
        <f t="shared" ref="BH15:BH17" si="2">(2*BD15*BE15)/(BD15+BE15)</f>
        <v>0.82654970059880251</v>
      </c>
      <c r="BR15" s="4" t="s">
        <v>12</v>
      </c>
      <c r="BS15" s="4">
        <v>210</v>
      </c>
      <c r="BT15" s="5">
        <v>3116</v>
      </c>
      <c r="BU15" s="4">
        <v>0.83299999999999996</v>
      </c>
      <c r="BV15" s="4">
        <v>0.86699999999999999</v>
      </c>
      <c r="BW15" s="4">
        <v>0.91200000000000003</v>
      </c>
      <c r="BX15" s="4">
        <v>0.69099999999999995</v>
      </c>
      <c r="BY15" s="6">
        <f t="shared" ref="BY15:BY17" si="3">(2*BU15*BV15)/(BU15+BV15)</f>
        <v>0.84965999999999997</v>
      </c>
    </row>
    <row r="16" spans="2:85" ht="42">
      <c r="B16" s="5" t="s">
        <v>13</v>
      </c>
      <c r="C16" s="5">
        <v>210</v>
      </c>
      <c r="D16" s="5">
        <v>651</v>
      </c>
      <c r="E16" s="5">
        <v>0.58099999999999996</v>
      </c>
      <c r="F16" s="5">
        <v>0.51800000000000002</v>
      </c>
      <c r="G16" s="5">
        <v>0.55500000000000005</v>
      </c>
      <c r="H16" s="5">
        <v>0.32</v>
      </c>
      <c r="I16" s="13">
        <f t="shared" si="0"/>
        <v>0.54769426751592354</v>
      </c>
      <c r="K16" s="3" t="s">
        <v>23</v>
      </c>
      <c r="L16" s="11" t="s">
        <v>24</v>
      </c>
      <c r="M16" s="3" t="s">
        <v>25</v>
      </c>
      <c r="N16" s="11" t="s">
        <v>26</v>
      </c>
      <c r="O16" s="3" t="s">
        <v>27</v>
      </c>
      <c r="S16" s="4" t="s">
        <v>13</v>
      </c>
      <c r="T16" s="5">
        <v>210</v>
      </c>
      <c r="U16" s="5">
        <v>2056</v>
      </c>
      <c r="V16" s="4">
        <v>0.51500000000000001</v>
      </c>
      <c r="W16" s="4">
        <v>0.46200000000000002</v>
      </c>
      <c r="X16" s="4">
        <v>0.47399999999999998</v>
      </c>
      <c r="Y16" s="4">
        <v>0.28100000000000003</v>
      </c>
      <c r="Z16" s="6">
        <f>(2*V16*W16)/(V16+W16)</f>
        <v>0.48706243602865917</v>
      </c>
      <c r="AB16" s="3" t="s">
        <v>23</v>
      </c>
      <c r="AC16" s="11" t="s">
        <v>24</v>
      </c>
      <c r="AD16" s="3" t="s">
        <v>25</v>
      </c>
      <c r="AE16" s="11" t="s">
        <v>26</v>
      </c>
      <c r="AF16" s="3" t="s">
        <v>27</v>
      </c>
      <c r="AJ16" s="5" t="s">
        <v>13</v>
      </c>
      <c r="AK16" s="5">
        <v>210</v>
      </c>
      <c r="AL16" s="5">
        <v>2056</v>
      </c>
      <c r="AM16" s="5">
        <v>0.56899999999999995</v>
      </c>
      <c r="AN16" s="5">
        <v>0.39900000000000002</v>
      </c>
      <c r="AO16" s="5">
        <v>0.46400000000000002</v>
      </c>
      <c r="AP16" s="5">
        <v>0.27500000000000002</v>
      </c>
      <c r="AQ16" s="13">
        <f t="shared" si="1"/>
        <v>0.46907231404958677</v>
      </c>
      <c r="AS16" s="3" t="s">
        <v>23</v>
      </c>
      <c r="AT16" s="11" t="s">
        <v>24</v>
      </c>
      <c r="AU16" s="3" t="s">
        <v>25</v>
      </c>
      <c r="AV16" s="11" t="s">
        <v>26</v>
      </c>
      <c r="AW16" s="3" t="s">
        <v>27</v>
      </c>
      <c r="BA16" s="4" t="s">
        <v>13</v>
      </c>
      <c r="BB16" s="5">
        <v>210</v>
      </c>
      <c r="BC16" s="5">
        <v>1140</v>
      </c>
      <c r="BD16" s="4">
        <v>0.66600000000000004</v>
      </c>
      <c r="BE16" s="4">
        <v>0.54</v>
      </c>
      <c r="BF16" s="4">
        <v>0.63700000000000001</v>
      </c>
      <c r="BG16" s="4">
        <v>0.34699999999999998</v>
      </c>
      <c r="BH16" s="6">
        <f t="shared" si="2"/>
        <v>0.59641791044776138</v>
      </c>
      <c r="BJ16" s="3" t="s">
        <v>23</v>
      </c>
      <c r="BK16" s="11" t="s">
        <v>24</v>
      </c>
      <c r="BL16" s="3" t="s">
        <v>25</v>
      </c>
      <c r="BM16" s="11" t="s">
        <v>26</v>
      </c>
      <c r="BN16" s="3" t="s">
        <v>27</v>
      </c>
      <c r="BR16" s="4" t="s">
        <v>13</v>
      </c>
      <c r="BS16" s="4">
        <v>210</v>
      </c>
      <c r="BT16" s="5">
        <v>6435</v>
      </c>
      <c r="BU16" s="4">
        <v>0.95299999999999996</v>
      </c>
      <c r="BV16" s="4">
        <v>0.96599999999999997</v>
      </c>
      <c r="BW16" s="4">
        <v>0.98899999999999999</v>
      </c>
      <c r="BX16" s="4">
        <v>0.79300000000000004</v>
      </c>
      <c r="BY16" s="6">
        <f t="shared" si="3"/>
        <v>0.95945596664929644</v>
      </c>
      <c r="CA16" s="3" t="s">
        <v>23</v>
      </c>
      <c r="CB16" s="11" t="s">
        <v>24</v>
      </c>
      <c r="CC16" s="3" t="s">
        <v>25</v>
      </c>
      <c r="CD16" s="11" t="s">
        <v>26</v>
      </c>
      <c r="CE16" s="3" t="s">
        <v>27</v>
      </c>
    </row>
    <row r="17" spans="2:85">
      <c r="B17" s="5" t="s">
        <v>14</v>
      </c>
      <c r="C17" s="5">
        <v>210</v>
      </c>
      <c r="D17" s="5">
        <v>495</v>
      </c>
      <c r="E17" s="5">
        <v>0.64300000000000002</v>
      </c>
      <c r="F17" s="5">
        <v>0.84199999999999997</v>
      </c>
      <c r="G17" s="5">
        <v>0.82899999999999996</v>
      </c>
      <c r="H17" s="5">
        <v>0.71</v>
      </c>
      <c r="I17" s="13">
        <f t="shared" si="0"/>
        <v>0.72916632996632991</v>
      </c>
      <c r="K17" s="4">
        <v>0.2</v>
      </c>
      <c r="L17" s="4">
        <v>2.6</v>
      </c>
      <c r="M17" s="4">
        <v>1.5</v>
      </c>
      <c r="N17" s="4">
        <f>SUM(K17:M17)</f>
        <v>4.3000000000000007</v>
      </c>
      <c r="O17" s="4" t="s">
        <v>31</v>
      </c>
      <c r="S17" s="4" t="s">
        <v>14</v>
      </c>
      <c r="T17" s="5">
        <v>210</v>
      </c>
      <c r="U17" s="5">
        <v>2094</v>
      </c>
      <c r="V17" s="4">
        <v>0.63300000000000001</v>
      </c>
      <c r="W17" s="4">
        <v>0.48199999999999998</v>
      </c>
      <c r="X17" s="4">
        <v>0.56200000000000006</v>
      </c>
      <c r="Y17" s="4">
        <v>0.38200000000000001</v>
      </c>
      <c r="Z17" s="6">
        <f>(2*V17*W17)/(V17+W17)</f>
        <v>0.54727533632286995</v>
      </c>
      <c r="AB17" s="4">
        <v>0.1</v>
      </c>
      <c r="AC17" s="4">
        <v>3.6</v>
      </c>
      <c r="AD17" s="4">
        <v>1.1000000000000001</v>
      </c>
      <c r="AE17" s="4">
        <f>SUM(AB17:AD17)</f>
        <v>4.8000000000000007</v>
      </c>
      <c r="AF17" s="4" t="s">
        <v>31</v>
      </c>
      <c r="AJ17" s="5" t="s">
        <v>14</v>
      </c>
      <c r="AK17" s="5">
        <v>210</v>
      </c>
      <c r="AL17" s="5">
        <v>808</v>
      </c>
      <c r="AM17" s="5">
        <v>0.66700000000000004</v>
      </c>
      <c r="AN17" s="5">
        <v>0.85499999999999998</v>
      </c>
      <c r="AO17" s="5">
        <v>0.83899999999999997</v>
      </c>
      <c r="AP17" s="5">
        <v>0.69699999999999995</v>
      </c>
      <c r="AQ17" s="13">
        <f t="shared" si="1"/>
        <v>0.74938896189224713</v>
      </c>
      <c r="AS17" s="4">
        <v>0.1</v>
      </c>
      <c r="AT17" s="4">
        <v>2.1</v>
      </c>
      <c r="AU17" s="4">
        <v>1.6</v>
      </c>
      <c r="AV17" s="4">
        <f>SUM(AS17:AU17)</f>
        <v>3.8000000000000003</v>
      </c>
      <c r="AW17" s="4" t="s">
        <v>31</v>
      </c>
      <c r="BA17" s="4" t="s">
        <v>14</v>
      </c>
      <c r="BB17" s="5">
        <v>210</v>
      </c>
      <c r="BC17" s="5">
        <v>808</v>
      </c>
      <c r="BD17" s="4">
        <v>0.69899999999999995</v>
      </c>
      <c r="BE17" s="4">
        <v>0.85399999999999998</v>
      </c>
      <c r="BF17" s="4">
        <v>0.84899999999999998</v>
      </c>
      <c r="BG17" s="4">
        <v>0.69399999999999995</v>
      </c>
      <c r="BH17" s="6">
        <f t="shared" si="2"/>
        <v>0.76876497102382491</v>
      </c>
      <c r="BJ17" s="4">
        <v>0.1</v>
      </c>
      <c r="BK17" s="4">
        <v>1.8</v>
      </c>
      <c r="BL17" s="4">
        <v>1.1000000000000001</v>
      </c>
      <c r="BM17" s="4">
        <f>SUM(BJ17:BL17)</f>
        <v>3</v>
      </c>
      <c r="BN17" s="4" t="s">
        <v>31</v>
      </c>
      <c r="BR17" s="4" t="s">
        <v>14</v>
      </c>
      <c r="BS17" s="4">
        <v>210</v>
      </c>
      <c r="BT17" s="5">
        <v>808</v>
      </c>
      <c r="BU17" s="4">
        <v>0.79500000000000004</v>
      </c>
      <c r="BV17" s="4">
        <v>0.78200000000000003</v>
      </c>
      <c r="BW17" s="4">
        <v>0.84099999999999997</v>
      </c>
      <c r="BX17" s="4">
        <v>0.69</v>
      </c>
      <c r="BY17" s="6">
        <f t="shared" si="3"/>
        <v>0.78844641724793929</v>
      </c>
      <c r="CA17" s="4">
        <v>0.1</v>
      </c>
      <c r="CB17" s="4">
        <v>1.6</v>
      </c>
      <c r="CC17" s="4">
        <v>1.2</v>
      </c>
      <c r="CD17" s="4">
        <f>SUM(CA17:CC17)</f>
        <v>2.9000000000000004</v>
      </c>
      <c r="CE17" s="4" t="s">
        <v>31</v>
      </c>
    </row>
    <row r="20" spans="2:85">
      <c r="B20" t="s">
        <v>32</v>
      </c>
      <c r="C20" s="2" t="s">
        <v>33</v>
      </c>
      <c r="K20" s="7" t="s">
        <v>15</v>
      </c>
      <c r="L20" t="s">
        <v>61</v>
      </c>
      <c r="S20" t="s">
        <v>32</v>
      </c>
      <c r="T20" s="2" t="s">
        <v>33</v>
      </c>
      <c r="X20" s="20"/>
      <c r="AB20" s="7" t="s">
        <v>15</v>
      </c>
      <c r="AD20" t="s">
        <v>61</v>
      </c>
      <c r="AJ20" t="s">
        <v>32</v>
      </c>
      <c r="AK20" s="2" t="s">
        <v>33</v>
      </c>
      <c r="AS20" s="7" t="s">
        <v>15</v>
      </c>
      <c r="AU20" t="s">
        <v>61</v>
      </c>
      <c r="BA20" t="s">
        <v>32</v>
      </c>
      <c r="BB20" s="2" t="s">
        <v>33</v>
      </c>
      <c r="BJ20" s="7" t="s">
        <v>15</v>
      </c>
      <c r="BL20" t="s">
        <v>61</v>
      </c>
      <c r="BR20" t="s">
        <v>1</v>
      </c>
      <c r="BS20" s="2" t="s">
        <v>30</v>
      </c>
      <c r="CA20" s="7" t="s">
        <v>15</v>
      </c>
      <c r="CC20" t="s">
        <v>61</v>
      </c>
    </row>
    <row r="22" spans="2:85">
      <c r="B22" s="12" t="s">
        <v>3</v>
      </c>
      <c r="C22" s="12" t="s">
        <v>4</v>
      </c>
      <c r="D22" s="12" t="s">
        <v>5</v>
      </c>
      <c r="E22" s="12" t="s">
        <v>6</v>
      </c>
      <c r="F22" s="12" t="s">
        <v>7</v>
      </c>
      <c r="G22" s="12" t="s">
        <v>8</v>
      </c>
      <c r="H22" s="12" t="s">
        <v>9</v>
      </c>
      <c r="I22" s="12" t="s">
        <v>10</v>
      </c>
      <c r="K22" s="3" t="s">
        <v>16</v>
      </c>
      <c r="L22" s="3" t="s">
        <v>17</v>
      </c>
      <c r="M22" s="3" t="s">
        <v>57</v>
      </c>
      <c r="N22" s="3" t="s">
        <v>19</v>
      </c>
      <c r="O22" s="3" t="s">
        <v>20</v>
      </c>
      <c r="P22" s="3" t="s">
        <v>21</v>
      </c>
      <c r="Q22" s="8" t="s">
        <v>22</v>
      </c>
      <c r="S22" s="3" t="s">
        <v>3</v>
      </c>
      <c r="T22" s="3" t="s">
        <v>4</v>
      </c>
      <c r="U22" s="3" t="s">
        <v>5</v>
      </c>
      <c r="V22" s="3" t="s">
        <v>6</v>
      </c>
      <c r="W22" s="3" t="s">
        <v>7</v>
      </c>
      <c r="X22" s="3" t="s">
        <v>8</v>
      </c>
      <c r="Y22" s="3" t="s">
        <v>9</v>
      </c>
      <c r="Z22" s="3" t="s">
        <v>10</v>
      </c>
      <c r="AB22" s="3" t="s">
        <v>16</v>
      </c>
      <c r="AC22" s="3" t="s">
        <v>17</v>
      </c>
      <c r="AD22" s="3" t="s">
        <v>57</v>
      </c>
      <c r="AE22" s="3" t="s">
        <v>19</v>
      </c>
      <c r="AF22" s="3" t="s">
        <v>20</v>
      </c>
      <c r="AG22" s="3" t="s">
        <v>21</v>
      </c>
      <c r="AH22" s="8" t="s">
        <v>22</v>
      </c>
      <c r="AJ22" s="12" t="s">
        <v>3</v>
      </c>
      <c r="AK22" s="12" t="s">
        <v>4</v>
      </c>
      <c r="AL22" s="12" t="s">
        <v>5</v>
      </c>
      <c r="AM22" s="12" t="s">
        <v>6</v>
      </c>
      <c r="AN22" s="12" t="s">
        <v>7</v>
      </c>
      <c r="AO22" s="12" t="s">
        <v>8</v>
      </c>
      <c r="AP22" s="12" t="s">
        <v>9</v>
      </c>
      <c r="AQ22" s="12" t="s">
        <v>10</v>
      </c>
      <c r="AS22" s="3" t="s">
        <v>16</v>
      </c>
      <c r="AT22" s="3" t="s">
        <v>17</v>
      </c>
      <c r="AU22" s="3" t="s">
        <v>57</v>
      </c>
      <c r="AV22" s="3" t="s">
        <v>19</v>
      </c>
      <c r="AW22" s="3" t="s">
        <v>20</v>
      </c>
      <c r="AX22" s="3" t="s">
        <v>21</v>
      </c>
      <c r="AY22" s="8" t="s">
        <v>22</v>
      </c>
      <c r="BA22" s="3" t="s">
        <v>3</v>
      </c>
      <c r="BB22" s="3" t="s">
        <v>4</v>
      </c>
      <c r="BC22" s="3" t="s">
        <v>5</v>
      </c>
      <c r="BD22" s="3" t="s">
        <v>6</v>
      </c>
      <c r="BE22" s="3" t="s">
        <v>7</v>
      </c>
      <c r="BF22" s="3" t="s">
        <v>8</v>
      </c>
      <c r="BG22" s="3" t="s">
        <v>9</v>
      </c>
      <c r="BH22" s="3" t="s">
        <v>10</v>
      </c>
      <c r="BJ22" s="3" t="s">
        <v>16</v>
      </c>
      <c r="BK22" s="3" t="s">
        <v>17</v>
      </c>
      <c r="BL22" s="3" t="s">
        <v>57</v>
      </c>
      <c r="BM22" s="3" t="s">
        <v>19</v>
      </c>
      <c r="BN22" s="3" t="s">
        <v>20</v>
      </c>
      <c r="BO22" s="3" t="s">
        <v>21</v>
      </c>
      <c r="BP22" s="8" t="s">
        <v>22</v>
      </c>
      <c r="BR22" s="3" t="s">
        <v>3</v>
      </c>
      <c r="BS22" s="3" t="s">
        <v>4</v>
      </c>
      <c r="BT22" s="3" t="s">
        <v>5</v>
      </c>
      <c r="BU22" s="3" t="s">
        <v>6</v>
      </c>
      <c r="BV22" s="3" t="s">
        <v>7</v>
      </c>
      <c r="BW22" s="3" t="s">
        <v>8</v>
      </c>
      <c r="BX22" s="3" t="s">
        <v>9</v>
      </c>
      <c r="BY22" s="3" t="s">
        <v>10</v>
      </c>
      <c r="CA22" s="3" t="s">
        <v>16</v>
      </c>
      <c r="CB22" s="3" t="s">
        <v>17</v>
      </c>
      <c r="CC22" s="3" t="s">
        <v>57</v>
      </c>
      <c r="CD22" s="3" t="s">
        <v>19</v>
      </c>
      <c r="CE22" s="3" t="s">
        <v>20</v>
      </c>
      <c r="CF22" s="3" t="s">
        <v>21</v>
      </c>
      <c r="CG22" s="8" t="s">
        <v>22</v>
      </c>
    </row>
    <row r="23" spans="2:85">
      <c r="B23" s="5" t="s">
        <v>11</v>
      </c>
      <c r="C23" s="5">
        <v>630</v>
      </c>
      <c r="D23" s="5">
        <v>3078</v>
      </c>
      <c r="E23" s="5">
        <v>0.60499999999999998</v>
      </c>
      <c r="F23" s="5">
        <v>0.73899999999999999</v>
      </c>
      <c r="G23" s="5">
        <v>0.71199999999999997</v>
      </c>
      <c r="H23" s="5">
        <v>0.52900000000000003</v>
      </c>
      <c r="I23" s="13">
        <f>(2*E23*F23)/(E23+F23)</f>
        <v>0.66531994047619047</v>
      </c>
      <c r="K23" s="4">
        <v>50</v>
      </c>
      <c r="L23" s="4">
        <v>16</v>
      </c>
      <c r="M23" s="4">
        <v>0.374</v>
      </c>
      <c r="N23" s="4">
        <v>181</v>
      </c>
      <c r="O23" s="9">
        <v>2590425</v>
      </c>
      <c r="P23" s="9">
        <v>2590425</v>
      </c>
      <c r="Q23" s="10">
        <v>6.4</v>
      </c>
      <c r="S23" s="4" t="s">
        <v>11</v>
      </c>
      <c r="T23" s="5">
        <v>630</v>
      </c>
      <c r="U23" s="5">
        <v>6363</v>
      </c>
      <c r="V23" s="4">
        <v>0.59899999999999998</v>
      </c>
      <c r="W23" s="4">
        <v>0.58799999999999997</v>
      </c>
      <c r="X23" s="4">
        <v>0.61499999999999999</v>
      </c>
      <c r="Y23" s="4">
        <v>0.42</v>
      </c>
      <c r="Z23" s="6">
        <f>(2*V23*W23)/(V23+W23)</f>
        <v>0.59344903117101944</v>
      </c>
      <c r="AB23" s="4">
        <v>50</v>
      </c>
      <c r="AC23" s="4">
        <v>16</v>
      </c>
      <c r="AD23" s="4">
        <v>0.46500000000000002</v>
      </c>
      <c r="AE23" s="4">
        <v>181</v>
      </c>
      <c r="AF23" s="9">
        <v>2590425</v>
      </c>
      <c r="AG23" s="9">
        <v>2590425</v>
      </c>
      <c r="AH23" s="10">
        <v>6.4</v>
      </c>
      <c r="AJ23" s="5" t="s">
        <v>11</v>
      </c>
      <c r="AK23" s="5">
        <v>630</v>
      </c>
      <c r="AL23" s="5">
        <v>5077</v>
      </c>
      <c r="AM23" s="5">
        <v>0.63200000000000001</v>
      </c>
      <c r="AN23" s="5">
        <v>0.67800000000000005</v>
      </c>
      <c r="AO23" s="5">
        <v>0.70299999999999996</v>
      </c>
      <c r="AP23" s="5">
        <v>0.51800000000000002</v>
      </c>
      <c r="AQ23" s="13">
        <f>(2*AM23*AN23)/(AM23+AN23)</f>
        <v>0.65419236641221379</v>
      </c>
      <c r="AS23" s="4">
        <v>50</v>
      </c>
      <c r="AT23" s="4">
        <v>16</v>
      </c>
      <c r="AU23" s="4">
        <v>0.34899999999999998</v>
      </c>
      <c r="AV23" s="4">
        <v>181</v>
      </c>
      <c r="AW23" s="9">
        <v>2590425</v>
      </c>
      <c r="AX23" s="9">
        <v>2590425</v>
      </c>
      <c r="AY23" s="10">
        <v>6.4</v>
      </c>
      <c r="BA23" s="4" t="s">
        <v>11</v>
      </c>
      <c r="BB23" s="5">
        <v>630</v>
      </c>
      <c r="BC23" s="5">
        <v>5064</v>
      </c>
      <c r="BD23" s="4">
        <v>0.69799999999999995</v>
      </c>
      <c r="BE23" s="4">
        <v>0.77400000000000002</v>
      </c>
      <c r="BF23" s="4">
        <v>0.79200000000000004</v>
      </c>
      <c r="BG23" s="4">
        <v>0.57199999999999995</v>
      </c>
      <c r="BH23" s="6">
        <f>(2*BD23*BE23)/(BD23+BE23)</f>
        <v>0.73403804347826085</v>
      </c>
      <c r="BJ23" s="4">
        <v>50</v>
      </c>
      <c r="BK23" s="4">
        <v>16</v>
      </c>
      <c r="BL23" s="4">
        <v>0.36199999999999999</v>
      </c>
      <c r="BM23" s="4">
        <v>181</v>
      </c>
      <c r="BN23" s="9">
        <v>2590425</v>
      </c>
      <c r="BO23" s="9">
        <v>2590425</v>
      </c>
      <c r="BP23" s="10">
        <v>6.4</v>
      </c>
      <c r="BR23" s="4" t="s">
        <v>11</v>
      </c>
      <c r="BS23" s="4">
        <v>630</v>
      </c>
      <c r="BT23" s="5">
        <v>10359</v>
      </c>
      <c r="BU23" s="4">
        <v>0.86</v>
      </c>
      <c r="BV23" s="4">
        <v>0.872</v>
      </c>
      <c r="BW23" s="4">
        <v>0.91700000000000004</v>
      </c>
      <c r="BX23" s="4">
        <v>0.72799999999999998</v>
      </c>
      <c r="BY23" s="6">
        <f>(2*BU23*BV23)/(BU23+BV23)</f>
        <v>0.86595842956120095</v>
      </c>
      <c r="CA23" s="4">
        <v>50</v>
      </c>
      <c r="CB23" s="4">
        <v>16</v>
      </c>
      <c r="CC23" s="4">
        <v>0.38500000000000001</v>
      </c>
      <c r="CD23" s="4">
        <v>181</v>
      </c>
      <c r="CE23" s="9">
        <v>2590425</v>
      </c>
      <c r="CF23" s="9">
        <v>2590425</v>
      </c>
      <c r="CG23" s="10">
        <v>6.4</v>
      </c>
    </row>
    <row r="24" spans="2:85">
      <c r="B24" s="5" t="s">
        <v>12</v>
      </c>
      <c r="C24" s="5">
        <v>210</v>
      </c>
      <c r="D24" s="5">
        <v>1932</v>
      </c>
      <c r="E24" s="5">
        <v>0.59</v>
      </c>
      <c r="F24" s="5">
        <v>0.78900000000000003</v>
      </c>
      <c r="G24" s="5">
        <v>0.76500000000000001</v>
      </c>
      <c r="H24" s="5">
        <v>0.56499999999999995</v>
      </c>
      <c r="I24" s="13">
        <f t="shared" ref="I24:I26" si="4">(2*E24*F24)/(E24+F24)</f>
        <v>0.67514140681653367</v>
      </c>
      <c r="S24" s="4" t="s">
        <v>12</v>
      </c>
      <c r="T24" s="5">
        <v>210</v>
      </c>
      <c r="U24" s="5">
        <v>2213</v>
      </c>
      <c r="V24" s="4">
        <v>0.623</v>
      </c>
      <c r="W24" s="4">
        <v>0.83499999999999996</v>
      </c>
      <c r="X24" s="4">
        <v>0.82</v>
      </c>
      <c r="Y24" s="4">
        <v>0.6</v>
      </c>
      <c r="Z24" s="6">
        <f>(2*V24*W24)/(V24+W24)</f>
        <v>0.71358710562414274</v>
      </c>
      <c r="AJ24" s="5" t="s">
        <v>12</v>
      </c>
      <c r="AK24" s="5">
        <v>210</v>
      </c>
      <c r="AL24" s="5">
        <v>2213</v>
      </c>
      <c r="AM24" s="5">
        <v>0.623</v>
      </c>
      <c r="AN24" s="5">
        <v>0.82699999999999996</v>
      </c>
      <c r="AO24" s="5">
        <v>0.80600000000000005</v>
      </c>
      <c r="AP24" s="5">
        <v>0.59</v>
      </c>
      <c r="AQ24" s="13">
        <f t="shared" ref="AQ24:AQ26" si="5">(2*AM24*AN24)/(AM24+AN24)</f>
        <v>0.71064965517241374</v>
      </c>
      <c r="BA24" s="4" t="s">
        <v>12</v>
      </c>
      <c r="BB24" s="5">
        <v>210</v>
      </c>
      <c r="BC24" s="5">
        <v>3116</v>
      </c>
      <c r="BD24" s="4">
        <v>0.73499999999999999</v>
      </c>
      <c r="BE24" s="4">
        <v>0.99199999999999999</v>
      </c>
      <c r="BF24" s="4">
        <v>0.91400000000000003</v>
      </c>
      <c r="BG24" s="4">
        <v>0.68600000000000005</v>
      </c>
      <c r="BH24" s="6">
        <f t="shared" ref="BH24:BH26" si="6">(2*BD24*BE24)/(BD24+BE24)</f>
        <v>0.84437753329473075</v>
      </c>
      <c r="BR24" s="4" t="s">
        <v>12</v>
      </c>
      <c r="BS24" s="4">
        <v>210</v>
      </c>
      <c r="BT24" s="5">
        <v>3116</v>
      </c>
      <c r="BU24" s="4">
        <v>0.83799999999999997</v>
      </c>
      <c r="BV24" s="4">
        <v>0.86199999999999999</v>
      </c>
      <c r="BW24" s="4">
        <v>0.91700000000000004</v>
      </c>
      <c r="BX24" s="4">
        <v>0.69199999999999995</v>
      </c>
      <c r="BY24" s="6">
        <f t="shared" ref="BY24:BY26" si="7">(2*BU24*BV24)/(BU24+BV24)</f>
        <v>0.84983058823529412</v>
      </c>
    </row>
    <row r="25" spans="2:85" ht="42">
      <c r="B25" s="5" t="s">
        <v>13</v>
      </c>
      <c r="C25" s="5">
        <v>210</v>
      </c>
      <c r="D25" s="5">
        <v>651</v>
      </c>
      <c r="E25" s="5">
        <v>0.57599999999999996</v>
      </c>
      <c r="F25" s="5">
        <v>0.58099999999999996</v>
      </c>
      <c r="G25" s="5">
        <v>0.53</v>
      </c>
      <c r="H25" s="5">
        <v>0.29599999999999999</v>
      </c>
      <c r="I25" s="13">
        <f t="shared" si="4"/>
        <v>0.5784891961970613</v>
      </c>
      <c r="K25" s="3" t="s">
        <v>23</v>
      </c>
      <c r="L25" s="11" t="s">
        <v>24</v>
      </c>
      <c r="M25" s="3" t="s">
        <v>25</v>
      </c>
      <c r="N25" s="11" t="s">
        <v>26</v>
      </c>
      <c r="O25" s="3" t="s">
        <v>27</v>
      </c>
      <c r="S25" s="4" t="s">
        <v>13</v>
      </c>
      <c r="T25" s="5">
        <v>210</v>
      </c>
      <c r="U25" s="5">
        <v>2056</v>
      </c>
      <c r="V25" s="4">
        <v>0.52</v>
      </c>
      <c r="W25" s="4">
        <v>0.45200000000000001</v>
      </c>
      <c r="X25" s="4">
        <v>0.45500000000000002</v>
      </c>
      <c r="Y25" s="4">
        <v>0.26800000000000002</v>
      </c>
      <c r="Z25" s="6">
        <f>(2*V25*W25)/(V25+W25)</f>
        <v>0.48362139917695479</v>
      </c>
      <c r="AB25" s="3" t="s">
        <v>23</v>
      </c>
      <c r="AC25" s="11" t="s">
        <v>24</v>
      </c>
      <c r="AD25" s="3" t="s">
        <v>25</v>
      </c>
      <c r="AE25" s="11" t="s">
        <v>26</v>
      </c>
      <c r="AF25" s="3" t="s">
        <v>27</v>
      </c>
      <c r="AJ25" s="5" t="s">
        <v>13</v>
      </c>
      <c r="AK25" s="5">
        <v>210</v>
      </c>
      <c r="AL25" s="5">
        <v>2056</v>
      </c>
      <c r="AM25" s="5">
        <v>0.58099999999999996</v>
      </c>
      <c r="AN25" s="5">
        <v>0.37</v>
      </c>
      <c r="AO25" s="5">
        <v>0.46500000000000002</v>
      </c>
      <c r="AP25" s="5">
        <v>0.27300000000000002</v>
      </c>
      <c r="AQ25" s="13">
        <f t="shared" si="5"/>
        <v>0.45209253417455308</v>
      </c>
      <c r="AS25" s="3" t="s">
        <v>23</v>
      </c>
      <c r="AT25" s="11" t="s">
        <v>24</v>
      </c>
      <c r="AU25" s="3" t="s">
        <v>25</v>
      </c>
      <c r="AV25" s="11" t="s">
        <v>26</v>
      </c>
      <c r="AW25" s="3" t="s">
        <v>27</v>
      </c>
      <c r="BA25" s="4" t="s">
        <v>13</v>
      </c>
      <c r="BB25" s="5">
        <v>210</v>
      </c>
      <c r="BC25" s="5">
        <v>1140</v>
      </c>
      <c r="BD25" s="4">
        <v>0.67700000000000005</v>
      </c>
      <c r="BE25" s="4">
        <v>0.54100000000000004</v>
      </c>
      <c r="BF25" s="4">
        <v>0.622</v>
      </c>
      <c r="BG25" s="4">
        <v>0.33600000000000002</v>
      </c>
      <c r="BH25" s="6">
        <f t="shared" si="6"/>
        <v>0.60140722495894916</v>
      </c>
      <c r="BJ25" s="3" t="s">
        <v>23</v>
      </c>
      <c r="BK25" s="11" t="s">
        <v>24</v>
      </c>
      <c r="BL25" s="3" t="s">
        <v>25</v>
      </c>
      <c r="BM25" s="11" t="s">
        <v>26</v>
      </c>
      <c r="BN25" s="3" t="s">
        <v>27</v>
      </c>
      <c r="BR25" s="4" t="s">
        <v>13</v>
      </c>
      <c r="BS25" s="4">
        <v>210</v>
      </c>
      <c r="BT25" s="5">
        <v>6435</v>
      </c>
      <c r="BU25" s="4">
        <v>0.95399999999999996</v>
      </c>
      <c r="BV25" s="4">
        <v>0.96699999999999997</v>
      </c>
      <c r="BW25" s="4">
        <v>0.98899999999999999</v>
      </c>
      <c r="BX25" s="4">
        <v>0.79400000000000004</v>
      </c>
      <c r="BY25" s="6">
        <f t="shared" si="7"/>
        <v>0.96045601249349299</v>
      </c>
      <c r="CA25" s="3" t="s">
        <v>23</v>
      </c>
      <c r="CB25" s="11" t="s">
        <v>24</v>
      </c>
      <c r="CC25" s="3" t="s">
        <v>25</v>
      </c>
      <c r="CD25" s="11" t="s">
        <v>26</v>
      </c>
      <c r="CE25" s="3" t="s">
        <v>27</v>
      </c>
    </row>
    <row r="26" spans="2:85">
      <c r="B26" s="5" t="s">
        <v>14</v>
      </c>
      <c r="C26" s="5">
        <v>210</v>
      </c>
      <c r="D26" s="5">
        <v>495</v>
      </c>
      <c r="E26" s="5">
        <v>0.64800000000000002</v>
      </c>
      <c r="F26" s="5">
        <v>0.84599999999999997</v>
      </c>
      <c r="G26" s="5">
        <v>0.84</v>
      </c>
      <c r="H26" s="5">
        <v>0.72499999999999998</v>
      </c>
      <c r="I26" s="13">
        <f t="shared" si="4"/>
        <v>0.73387951807228924</v>
      </c>
      <c r="K26" s="4">
        <v>0.1</v>
      </c>
      <c r="L26" s="4">
        <v>2.7</v>
      </c>
      <c r="M26" s="4">
        <v>2</v>
      </c>
      <c r="N26" s="4">
        <f>SUM(K26:M26)</f>
        <v>4.8000000000000007</v>
      </c>
      <c r="O26" s="4" t="s">
        <v>31</v>
      </c>
      <c r="S26" s="4" t="s">
        <v>14</v>
      </c>
      <c r="T26" s="5">
        <v>210</v>
      </c>
      <c r="U26" s="5">
        <v>2094</v>
      </c>
      <c r="V26" s="4">
        <v>0.65200000000000002</v>
      </c>
      <c r="W26" s="4">
        <v>0.47599999999999998</v>
      </c>
      <c r="X26" s="4">
        <v>0.56999999999999995</v>
      </c>
      <c r="Y26" s="4">
        <v>0.39200000000000002</v>
      </c>
      <c r="Z26" s="6">
        <f>(2*V26*W26)/(V26+W26)</f>
        <v>0.55026950354609927</v>
      </c>
      <c r="AB26" s="4">
        <v>0.1</v>
      </c>
      <c r="AC26" s="4">
        <v>3</v>
      </c>
      <c r="AD26" s="4">
        <v>1.2</v>
      </c>
      <c r="AE26" s="4">
        <f>SUM(AB26:AD26)</f>
        <v>4.3</v>
      </c>
      <c r="AF26" s="4" t="s">
        <v>31</v>
      </c>
      <c r="AJ26" s="5" t="s">
        <v>14</v>
      </c>
      <c r="AK26" s="5">
        <v>210</v>
      </c>
      <c r="AL26" s="5">
        <v>808</v>
      </c>
      <c r="AM26" s="5">
        <v>0.69199999999999995</v>
      </c>
      <c r="AN26" s="5">
        <v>0.83799999999999997</v>
      </c>
      <c r="AO26" s="5">
        <v>0.83899999999999997</v>
      </c>
      <c r="AP26" s="5">
        <v>0.69099999999999995</v>
      </c>
      <c r="AQ26" s="13">
        <f t="shared" si="5"/>
        <v>0.75803398692810464</v>
      </c>
      <c r="AS26" s="4">
        <v>0.1</v>
      </c>
      <c r="AT26" s="4">
        <v>1.5</v>
      </c>
      <c r="AU26" s="4">
        <v>1.8</v>
      </c>
      <c r="AV26" s="4">
        <f>SUM(AS26:AU26)</f>
        <v>3.4000000000000004</v>
      </c>
      <c r="AW26" s="4" t="s">
        <v>31</v>
      </c>
      <c r="BA26" s="4" t="s">
        <v>14</v>
      </c>
      <c r="BB26" s="5">
        <v>210</v>
      </c>
      <c r="BC26" s="5">
        <v>808</v>
      </c>
      <c r="BD26" s="4">
        <v>0.68200000000000005</v>
      </c>
      <c r="BE26" s="4">
        <v>0.86</v>
      </c>
      <c r="BF26" s="4">
        <v>0.84</v>
      </c>
      <c r="BG26" s="4">
        <v>0.69499999999999995</v>
      </c>
      <c r="BH26" s="6">
        <f t="shared" si="6"/>
        <v>0.7607263294422828</v>
      </c>
      <c r="BJ26" s="4">
        <v>0.1</v>
      </c>
      <c r="BK26" s="4">
        <v>2</v>
      </c>
      <c r="BL26" s="4">
        <v>1.2</v>
      </c>
      <c r="BM26" s="4">
        <f>SUM(BJ26:BL26)</f>
        <v>3.3</v>
      </c>
      <c r="BN26" s="4" t="s">
        <v>31</v>
      </c>
      <c r="BR26" s="4" t="s">
        <v>14</v>
      </c>
      <c r="BS26" s="4">
        <v>210</v>
      </c>
      <c r="BT26" s="5">
        <v>808</v>
      </c>
      <c r="BU26" s="4">
        <v>0.78900000000000003</v>
      </c>
      <c r="BV26" s="4">
        <v>0.78800000000000003</v>
      </c>
      <c r="BW26" s="4">
        <v>0.84399999999999997</v>
      </c>
      <c r="BX26" s="4">
        <v>0.69699999999999995</v>
      </c>
      <c r="BY26" s="6">
        <f t="shared" si="7"/>
        <v>0.78849968294229555</v>
      </c>
      <c r="CA26" s="4">
        <v>0.2</v>
      </c>
      <c r="CB26" s="4">
        <v>2.1</v>
      </c>
      <c r="CC26" s="4">
        <v>1.1000000000000001</v>
      </c>
      <c r="CD26" s="4">
        <f>SUM(CA26:CC26)</f>
        <v>3.4000000000000004</v>
      </c>
      <c r="CE26" s="4" t="s">
        <v>31</v>
      </c>
    </row>
    <row r="29" spans="2:85">
      <c r="B29" t="s">
        <v>32</v>
      </c>
      <c r="C29" s="2" t="s">
        <v>33</v>
      </c>
      <c r="K29" s="7" t="s">
        <v>15</v>
      </c>
      <c r="L29" t="s">
        <v>61</v>
      </c>
      <c r="S29" t="s">
        <v>32</v>
      </c>
      <c r="T29" s="2" t="s">
        <v>33</v>
      </c>
      <c r="AB29" s="7" t="s">
        <v>15</v>
      </c>
      <c r="AD29" t="s">
        <v>61</v>
      </c>
      <c r="AJ29" t="s">
        <v>32</v>
      </c>
      <c r="AK29" s="2" t="s">
        <v>33</v>
      </c>
      <c r="AS29" s="7" t="s">
        <v>15</v>
      </c>
      <c r="AU29" t="s">
        <v>61</v>
      </c>
      <c r="BA29" t="s">
        <v>32</v>
      </c>
      <c r="BB29" s="2" t="s">
        <v>33</v>
      </c>
      <c r="BJ29" s="7" t="s">
        <v>15</v>
      </c>
      <c r="BL29" t="s">
        <v>61</v>
      </c>
      <c r="BR29" t="s">
        <v>1</v>
      </c>
      <c r="BS29" s="2" t="s">
        <v>30</v>
      </c>
      <c r="CA29" s="7" t="s">
        <v>15</v>
      </c>
      <c r="CC29" t="s">
        <v>61</v>
      </c>
    </row>
    <row r="31" spans="2:85">
      <c r="B31" s="12" t="s">
        <v>3</v>
      </c>
      <c r="C31" s="12" t="s">
        <v>4</v>
      </c>
      <c r="D31" s="12" t="s">
        <v>5</v>
      </c>
      <c r="E31" s="12" t="s">
        <v>6</v>
      </c>
      <c r="F31" s="12" t="s">
        <v>7</v>
      </c>
      <c r="G31" s="12" t="s">
        <v>8</v>
      </c>
      <c r="H31" s="12" t="s">
        <v>9</v>
      </c>
      <c r="I31" s="12" t="s">
        <v>10</v>
      </c>
      <c r="K31" s="3" t="s">
        <v>16</v>
      </c>
      <c r="L31" s="3" t="s">
        <v>17</v>
      </c>
      <c r="M31" s="3" t="s">
        <v>57</v>
      </c>
      <c r="N31" s="3" t="s">
        <v>19</v>
      </c>
      <c r="O31" s="3" t="s">
        <v>20</v>
      </c>
      <c r="P31" s="3" t="s">
        <v>21</v>
      </c>
      <c r="Q31" s="8" t="s">
        <v>22</v>
      </c>
      <c r="S31" s="3" t="s">
        <v>3</v>
      </c>
      <c r="T31" s="3" t="s">
        <v>4</v>
      </c>
      <c r="U31" s="3" t="s">
        <v>5</v>
      </c>
      <c r="V31" s="3" t="s">
        <v>6</v>
      </c>
      <c r="W31" s="3" t="s">
        <v>7</v>
      </c>
      <c r="X31" s="3" t="s">
        <v>8</v>
      </c>
      <c r="Y31" s="3" t="s">
        <v>9</v>
      </c>
      <c r="Z31" s="3" t="s">
        <v>10</v>
      </c>
      <c r="AB31" s="3" t="s">
        <v>16</v>
      </c>
      <c r="AC31" s="3" t="s">
        <v>17</v>
      </c>
      <c r="AD31" s="3" t="s">
        <v>57</v>
      </c>
      <c r="AE31" s="3" t="s">
        <v>19</v>
      </c>
      <c r="AF31" s="3" t="s">
        <v>20</v>
      </c>
      <c r="AG31" s="3" t="s">
        <v>21</v>
      </c>
      <c r="AH31" s="8" t="s">
        <v>22</v>
      </c>
      <c r="AJ31" s="12" t="s">
        <v>3</v>
      </c>
      <c r="AK31" s="12" t="s">
        <v>4</v>
      </c>
      <c r="AL31" s="12" t="s">
        <v>5</v>
      </c>
      <c r="AM31" s="12" t="s">
        <v>6</v>
      </c>
      <c r="AN31" s="12" t="s">
        <v>7</v>
      </c>
      <c r="AO31" s="12" t="s">
        <v>8</v>
      </c>
      <c r="AP31" s="12" t="s">
        <v>9</v>
      </c>
      <c r="AQ31" s="12" t="s">
        <v>10</v>
      </c>
      <c r="AS31" s="3" t="s">
        <v>16</v>
      </c>
      <c r="AT31" s="3" t="s">
        <v>17</v>
      </c>
      <c r="AU31" s="3" t="s">
        <v>57</v>
      </c>
      <c r="AV31" s="3" t="s">
        <v>19</v>
      </c>
      <c r="AW31" s="3" t="s">
        <v>20</v>
      </c>
      <c r="AX31" s="3" t="s">
        <v>21</v>
      </c>
      <c r="AY31" s="8" t="s">
        <v>22</v>
      </c>
      <c r="BA31" s="3" t="s">
        <v>3</v>
      </c>
      <c r="BB31" s="3" t="s">
        <v>4</v>
      </c>
      <c r="BC31" s="3" t="s">
        <v>5</v>
      </c>
      <c r="BD31" s="3" t="s">
        <v>6</v>
      </c>
      <c r="BE31" s="3" t="s">
        <v>7</v>
      </c>
      <c r="BF31" s="3" t="s">
        <v>8</v>
      </c>
      <c r="BG31" s="3" t="s">
        <v>9</v>
      </c>
      <c r="BH31" s="3" t="s">
        <v>10</v>
      </c>
      <c r="BJ31" s="3" t="s">
        <v>16</v>
      </c>
      <c r="BK31" s="3" t="s">
        <v>17</v>
      </c>
      <c r="BL31" s="3" t="s">
        <v>57</v>
      </c>
      <c r="BM31" s="3" t="s">
        <v>19</v>
      </c>
      <c r="BN31" s="3" t="s">
        <v>20</v>
      </c>
      <c r="BO31" s="3" t="s">
        <v>21</v>
      </c>
      <c r="BP31" s="8" t="s">
        <v>22</v>
      </c>
      <c r="BR31" s="3" t="s">
        <v>3</v>
      </c>
      <c r="BS31" s="3" t="s">
        <v>4</v>
      </c>
      <c r="BT31" s="3" t="s">
        <v>5</v>
      </c>
      <c r="BU31" s="3" t="s">
        <v>6</v>
      </c>
      <c r="BV31" s="3" t="s">
        <v>7</v>
      </c>
      <c r="BW31" s="3" t="s">
        <v>8</v>
      </c>
      <c r="BX31" s="3" t="s">
        <v>9</v>
      </c>
      <c r="BY31" s="3" t="s">
        <v>10</v>
      </c>
      <c r="CA31" s="3" t="s">
        <v>16</v>
      </c>
      <c r="CB31" s="3" t="s">
        <v>17</v>
      </c>
      <c r="CC31" s="3" t="s">
        <v>57</v>
      </c>
      <c r="CD31" s="3" t="s">
        <v>19</v>
      </c>
      <c r="CE31" s="3" t="s">
        <v>20</v>
      </c>
      <c r="CF31" s="3" t="s">
        <v>21</v>
      </c>
      <c r="CG31" s="8" t="s">
        <v>22</v>
      </c>
    </row>
    <row r="32" spans="2:85">
      <c r="B32" s="5" t="s">
        <v>11</v>
      </c>
      <c r="C32" s="5">
        <v>630</v>
      </c>
      <c r="D32" s="5">
        <v>3078</v>
      </c>
      <c r="E32" s="5">
        <v>0.61499999999999999</v>
      </c>
      <c r="F32" s="5">
        <v>0.71599999999999997</v>
      </c>
      <c r="G32" s="5">
        <v>0.71499999999999997</v>
      </c>
      <c r="H32" s="5">
        <v>0.52700000000000002</v>
      </c>
      <c r="I32" s="13">
        <f>(2*E32*F32)/(E32+F32)</f>
        <v>0.66166791885800147</v>
      </c>
      <c r="K32" s="4">
        <v>50</v>
      </c>
      <c r="L32" s="4">
        <v>16</v>
      </c>
      <c r="M32" s="4">
        <v>0.377</v>
      </c>
      <c r="N32" s="4">
        <v>181</v>
      </c>
      <c r="O32" s="9">
        <v>2590425</v>
      </c>
      <c r="P32" s="9">
        <v>2590425</v>
      </c>
      <c r="Q32" s="10">
        <v>6.4</v>
      </c>
      <c r="S32" s="4" t="s">
        <v>11</v>
      </c>
      <c r="T32" s="5">
        <v>630</v>
      </c>
      <c r="U32" s="5">
        <v>6363</v>
      </c>
      <c r="V32" s="4">
        <v>0.59699999999999998</v>
      </c>
      <c r="W32" s="4">
        <v>0.59899999999999998</v>
      </c>
      <c r="X32" s="4">
        <v>0.621</v>
      </c>
      <c r="Y32" s="4">
        <v>0.42099999999999999</v>
      </c>
      <c r="Z32" s="6">
        <f>(2*V32*W32)/(V32+W32)</f>
        <v>0.59799832775919726</v>
      </c>
      <c r="AB32" s="4">
        <v>50</v>
      </c>
      <c r="AC32" s="4">
        <v>16</v>
      </c>
      <c r="AD32" s="4">
        <v>0.45100000000000001</v>
      </c>
      <c r="AE32" s="4">
        <v>181</v>
      </c>
      <c r="AF32" s="9">
        <v>2590425</v>
      </c>
      <c r="AG32" s="9">
        <v>2590425</v>
      </c>
      <c r="AH32" s="10">
        <v>6.4</v>
      </c>
      <c r="AJ32" s="5" t="s">
        <v>11</v>
      </c>
      <c r="AK32" s="5">
        <v>630</v>
      </c>
      <c r="AL32" s="5">
        <v>5077</v>
      </c>
      <c r="AM32" s="5">
        <v>0.63700000000000001</v>
      </c>
      <c r="AN32" s="5">
        <v>0.69</v>
      </c>
      <c r="AO32" s="5">
        <v>0.70899999999999996</v>
      </c>
      <c r="AP32" s="5">
        <v>0.52300000000000002</v>
      </c>
      <c r="AQ32" s="13">
        <f>(2*AM32*AN32)/(AM32+AN32)</f>
        <v>0.66244159758854559</v>
      </c>
      <c r="AS32" s="4">
        <v>50</v>
      </c>
      <c r="AT32" s="4">
        <v>16</v>
      </c>
      <c r="AU32" s="4">
        <v>0.35</v>
      </c>
      <c r="AV32" s="4">
        <v>181</v>
      </c>
      <c r="AW32" s="9">
        <v>2590425</v>
      </c>
      <c r="AX32" s="9">
        <v>2590425</v>
      </c>
      <c r="AY32" s="10">
        <v>6.4</v>
      </c>
      <c r="BA32" s="4" t="s">
        <v>11</v>
      </c>
      <c r="BB32" s="5">
        <v>630</v>
      </c>
      <c r="BC32" s="5">
        <v>5064</v>
      </c>
      <c r="BD32" s="4">
        <v>0.70299999999999996</v>
      </c>
      <c r="BE32" s="4">
        <v>0.76300000000000001</v>
      </c>
      <c r="BF32" s="4">
        <v>0.79100000000000004</v>
      </c>
      <c r="BG32" s="4">
        <v>0.57299999999999995</v>
      </c>
      <c r="BH32" s="6">
        <f>(2*BD32*BE32)/(BD32+BE32)</f>
        <v>0.73177216916780352</v>
      </c>
      <c r="BJ32" s="4">
        <v>50</v>
      </c>
      <c r="BK32" s="4">
        <v>16</v>
      </c>
      <c r="BL32" s="4">
        <v>0.36699999999999999</v>
      </c>
      <c r="BM32" s="4">
        <v>181</v>
      </c>
      <c r="BN32" s="9">
        <v>2590425</v>
      </c>
      <c r="BO32" s="9">
        <v>2590425</v>
      </c>
      <c r="BP32" s="10">
        <v>6.4</v>
      </c>
      <c r="BR32" s="4" t="s">
        <v>11</v>
      </c>
      <c r="BS32" s="4">
        <v>630</v>
      </c>
      <c r="BT32" s="5">
        <v>10359</v>
      </c>
      <c r="BU32" s="4">
        <v>0.86</v>
      </c>
      <c r="BV32" s="4">
        <v>0.86899999999999999</v>
      </c>
      <c r="BW32" s="4">
        <v>0.91800000000000004</v>
      </c>
      <c r="BX32" s="4">
        <v>0.72699999999999998</v>
      </c>
      <c r="BY32" s="6">
        <f>(2*BU32*BV32)/(BU32+BV32)</f>
        <v>0.86447657605552342</v>
      </c>
      <c r="CA32" s="4">
        <v>50</v>
      </c>
      <c r="CB32" s="4">
        <v>16</v>
      </c>
      <c r="CC32" s="4">
        <v>0.36199999999999999</v>
      </c>
      <c r="CD32" s="4">
        <v>181</v>
      </c>
      <c r="CE32" s="9">
        <v>2590425</v>
      </c>
      <c r="CF32" s="9">
        <v>2590425</v>
      </c>
      <c r="CG32" s="10">
        <v>6.4</v>
      </c>
    </row>
    <row r="33" spans="2:85">
      <c r="B33" s="5" t="s">
        <v>12</v>
      </c>
      <c r="C33" s="5">
        <v>210</v>
      </c>
      <c r="D33" s="5">
        <v>1932</v>
      </c>
      <c r="E33" s="5">
        <v>0.59099999999999997</v>
      </c>
      <c r="F33" s="5">
        <v>0.79500000000000004</v>
      </c>
      <c r="G33" s="5">
        <v>0.76500000000000001</v>
      </c>
      <c r="H33" s="5">
        <v>0.56200000000000006</v>
      </c>
      <c r="I33" s="13">
        <f t="shared" ref="I33:I35" si="8">(2*E33*F33)/(E33+F33)</f>
        <v>0.67798701298701292</v>
      </c>
      <c r="S33" s="4" t="s">
        <v>12</v>
      </c>
      <c r="T33" s="5">
        <v>210</v>
      </c>
      <c r="U33" s="5">
        <v>2213</v>
      </c>
      <c r="V33" s="4">
        <v>0.63</v>
      </c>
      <c r="W33" s="4">
        <v>0.84599999999999997</v>
      </c>
      <c r="X33" s="4">
        <v>0.82</v>
      </c>
      <c r="Y33" s="4">
        <v>0.59599999999999997</v>
      </c>
      <c r="Z33" s="6">
        <f>(2*V33*W33)/(V33+W33)</f>
        <v>0.72219512195121949</v>
      </c>
      <c r="AJ33" s="5" t="s">
        <v>12</v>
      </c>
      <c r="AK33" s="5">
        <v>210</v>
      </c>
      <c r="AL33" s="5">
        <v>2213</v>
      </c>
      <c r="AM33" s="5">
        <v>0.63100000000000001</v>
      </c>
      <c r="AN33" s="5">
        <v>0.83099999999999996</v>
      </c>
      <c r="AO33" s="5">
        <v>0.80900000000000005</v>
      </c>
      <c r="AP33" s="5">
        <v>0.59399999999999997</v>
      </c>
      <c r="AQ33" s="13">
        <f t="shared" ref="AQ33:AQ35" si="9">(2*AM33*AN33)/(AM33+AN33)</f>
        <v>0.7173201094391245</v>
      </c>
      <c r="BA33" s="4" t="s">
        <v>12</v>
      </c>
      <c r="BB33" s="5">
        <v>210</v>
      </c>
      <c r="BC33" s="5">
        <v>3116</v>
      </c>
      <c r="BD33" s="4">
        <v>0.754</v>
      </c>
      <c r="BE33" s="4">
        <v>0.91400000000000003</v>
      </c>
      <c r="BF33" s="4">
        <v>0.91100000000000003</v>
      </c>
      <c r="BG33" s="4">
        <v>0.68400000000000005</v>
      </c>
      <c r="BH33" s="6">
        <f t="shared" ref="BH33:BH35" si="10">(2*BD33*BE33)/(BD33+BE33)</f>
        <v>0.82632613908872898</v>
      </c>
      <c r="BR33" s="4" t="s">
        <v>12</v>
      </c>
      <c r="BS33" s="4">
        <v>210</v>
      </c>
      <c r="BT33" s="5">
        <v>3116</v>
      </c>
      <c r="BU33" s="4">
        <v>0.83699999999999997</v>
      </c>
      <c r="BV33" s="4">
        <v>0.86299999999999999</v>
      </c>
      <c r="BW33" s="4">
        <v>0.91600000000000004</v>
      </c>
      <c r="BX33" s="4">
        <v>0.69199999999999995</v>
      </c>
      <c r="BY33" s="6">
        <f t="shared" ref="BY33:BY35" si="11">(2*BU33*BV33)/(BU33+BV33)</f>
        <v>0.84980117647058817</v>
      </c>
    </row>
    <row r="34" spans="2:85" ht="42">
      <c r="B34" s="5" t="s">
        <v>13</v>
      </c>
      <c r="C34" s="5">
        <v>210</v>
      </c>
      <c r="D34" s="5">
        <v>651</v>
      </c>
      <c r="E34" s="5">
        <v>0.61099999999999999</v>
      </c>
      <c r="F34" s="5">
        <v>0.499</v>
      </c>
      <c r="G34" s="5">
        <v>0.55000000000000004</v>
      </c>
      <c r="H34" s="5">
        <v>0.314</v>
      </c>
      <c r="I34" s="13">
        <f t="shared" si="8"/>
        <v>0.54934954954954951</v>
      </c>
      <c r="K34" s="3" t="s">
        <v>23</v>
      </c>
      <c r="L34" s="11" t="s">
        <v>24</v>
      </c>
      <c r="M34" s="3" t="s">
        <v>25</v>
      </c>
      <c r="N34" s="11" t="s">
        <v>26</v>
      </c>
      <c r="O34" s="3" t="s">
        <v>27</v>
      </c>
      <c r="S34" s="4" t="s">
        <v>13</v>
      </c>
      <c r="T34" s="5">
        <v>210</v>
      </c>
      <c r="U34" s="5">
        <v>2056</v>
      </c>
      <c r="V34" s="4">
        <v>0.51500000000000001</v>
      </c>
      <c r="W34" s="4">
        <v>0.47299999999999998</v>
      </c>
      <c r="X34" s="4">
        <v>0.46500000000000002</v>
      </c>
      <c r="Y34" s="4">
        <v>0.27</v>
      </c>
      <c r="Z34" s="6">
        <f>(2*V34*W34)/(V34+W34)</f>
        <v>0.49310728744939275</v>
      </c>
      <c r="AB34" s="3" t="s">
        <v>23</v>
      </c>
      <c r="AC34" s="11" t="s">
        <v>24</v>
      </c>
      <c r="AD34" s="3" t="s">
        <v>25</v>
      </c>
      <c r="AE34" s="11" t="s">
        <v>26</v>
      </c>
      <c r="AF34" s="3" t="s">
        <v>27</v>
      </c>
      <c r="AJ34" s="5" t="s">
        <v>13</v>
      </c>
      <c r="AK34" s="5">
        <v>210</v>
      </c>
      <c r="AL34" s="5">
        <v>2056</v>
      </c>
      <c r="AM34" s="5">
        <v>0.6</v>
      </c>
      <c r="AN34" s="5">
        <v>0.36399999999999999</v>
      </c>
      <c r="AO34" s="5">
        <v>0.47299999999999998</v>
      </c>
      <c r="AP34" s="5">
        <v>0.27300000000000002</v>
      </c>
      <c r="AQ34" s="13">
        <f t="shared" si="9"/>
        <v>0.45311203319502075</v>
      </c>
      <c r="AS34" s="3" t="s">
        <v>23</v>
      </c>
      <c r="AT34" s="11" t="s">
        <v>24</v>
      </c>
      <c r="AU34" s="3" t="s">
        <v>25</v>
      </c>
      <c r="AV34" s="11" t="s">
        <v>26</v>
      </c>
      <c r="AW34" s="3" t="s">
        <v>27</v>
      </c>
      <c r="BA34" s="4" t="s">
        <v>13</v>
      </c>
      <c r="BB34" s="5">
        <v>210</v>
      </c>
      <c r="BC34" s="5">
        <v>1140</v>
      </c>
      <c r="BD34" s="4">
        <v>0.67100000000000004</v>
      </c>
      <c r="BE34" s="4">
        <v>0.51900000000000002</v>
      </c>
      <c r="BF34" s="4">
        <v>0.61899999999999999</v>
      </c>
      <c r="BG34" s="4">
        <v>0.34100000000000003</v>
      </c>
      <c r="BH34" s="6">
        <f t="shared" si="10"/>
        <v>0.58529243697478994</v>
      </c>
      <c r="BJ34" s="3" t="s">
        <v>23</v>
      </c>
      <c r="BK34" s="11" t="s">
        <v>24</v>
      </c>
      <c r="BL34" s="3" t="s">
        <v>25</v>
      </c>
      <c r="BM34" s="11" t="s">
        <v>26</v>
      </c>
      <c r="BN34" s="3" t="s">
        <v>27</v>
      </c>
      <c r="BR34" s="4" t="s">
        <v>13</v>
      </c>
      <c r="BS34" s="4">
        <v>210</v>
      </c>
      <c r="BT34" s="5">
        <v>6435</v>
      </c>
      <c r="BU34" s="4">
        <v>0.95</v>
      </c>
      <c r="BV34" s="4">
        <v>0.96899999999999997</v>
      </c>
      <c r="BW34" s="4">
        <v>0.98899999999999999</v>
      </c>
      <c r="BX34" s="4">
        <v>0.79300000000000004</v>
      </c>
      <c r="BY34" s="6">
        <f t="shared" si="11"/>
        <v>0.95940594059405937</v>
      </c>
      <c r="CA34" s="3" t="s">
        <v>23</v>
      </c>
      <c r="CB34" s="11" t="s">
        <v>24</v>
      </c>
      <c r="CC34" s="3" t="s">
        <v>25</v>
      </c>
      <c r="CD34" s="11" t="s">
        <v>26</v>
      </c>
      <c r="CE34" s="3" t="s">
        <v>27</v>
      </c>
    </row>
    <row r="35" spans="2:85">
      <c r="B35" s="5" t="s">
        <v>14</v>
      </c>
      <c r="C35" s="5">
        <v>210</v>
      </c>
      <c r="D35" s="5">
        <v>495</v>
      </c>
      <c r="E35" s="5">
        <v>0.64200000000000002</v>
      </c>
      <c r="F35" s="5">
        <v>0.85299999999999998</v>
      </c>
      <c r="G35" s="5">
        <v>0.83</v>
      </c>
      <c r="H35" s="5">
        <v>0.70599999999999996</v>
      </c>
      <c r="I35" s="13">
        <f t="shared" si="8"/>
        <v>0.7326100334448159</v>
      </c>
      <c r="K35" s="4">
        <v>0.1</v>
      </c>
      <c r="L35" s="4">
        <v>3.1</v>
      </c>
      <c r="M35" s="4">
        <v>1.4</v>
      </c>
      <c r="N35" s="4">
        <f>SUM(K35:M35)</f>
        <v>4.5999999999999996</v>
      </c>
      <c r="O35" s="4" t="s">
        <v>31</v>
      </c>
      <c r="S35" s="4" t="s">
        <v>14</v>
      </c>
      <c r="T35" s="5">
        <v>210</v>
      </c>
      <c r="U35" s="5">
        <v>2094</v>
      </c>
      <c r="V35" s="4">
        <v>0.64600000000000002</v>
      </c>
      <c r="W35" s="4">
        <v>0.47699999999999998</v>
      </c>
      <c r="X35" s="4">
        <v>0.57899999999999996</v>
      </c>
      <c r="Y35" s="4">
        <v>0.39600000000000002</v>
      </c>
      <c r="Z35" s="6">
        <f>(2*V35*W35)/(V35+W35)</f>
        <v>0.54878361531611752</v>
      </c>
      <c r="AB35" s="4">
        <v>0.2</v>
      </c>
      <c r="AC35" s="4">
        <v>2.6</v>
      </c>
      <c r="AD35" s="4">
        <v>1.1000000000000001</v>
      </c>
      <c r="AE35" s="4">
        <f>SUM(AB35:AD35)</f>
        <v>3.9000000000000004</v>
      </c>
      <c r="AF35" s="4" t="s">
        <v>31</v>
      </c>
      <c r="AJ35" s="5" t="s">
        <v>14</v>
      </c>
      <c r="AK35" s="5">
        <v>210</v>
      </c>
      <c r="AL35" s="5">
        <v>808</v>
      </c>
      <c r="AM35" s="5">
        <v>0.68</v>
      </c>
      <c r="AN35" s="5">
        <v>0.876</v>
      </c>
      <c r="AO35" s="5">
        <v>0.84499999999999997</v>
      </c>
      <c r="AP35" s="5">
        <v>0.70199999999999996</v>
      </c>
      <c r="AQ35" s="13">
        <f t="shared" si="9"/>
        <v>0.765655526992288</v>
      </c>
      <c r="AS35" s="4">
        <v>0.1</v>
      </c>
      <c r="AT35" s="4">
        <v>1.8</v>
      </c>
      <c r="AU35" s="4">
        <v>1.4</v>
      </c>
      <c r="AV35" s="4">
        <f>SUM(AS35:AU35)</f>
        <v>3.3</v>
      </c>
      <c r="AW35" s="4" t="s">
        <v>31</v>
      </c>
      <c r="BA35" s="4" t="s">
        <v>14</v>
      </c>
      <c r="BB35" s="5">
        <v>210</v>
      </c>
      <c r="BC35" s="5">
        <v>808</v>
      </c>
      <c r="BD35" s="4">
        <v>0.68300000000000005</v>
      </c>
      <c r="BE35" s="4">
        <v>0.85499999999999998</v>
      </c>
      <c r="BF35" s="4">
        <v>0.84199999999999997</v>
      </c>
      <c r="BG35" s="4">
        <v>0.69299999999999995</v>
      </c>
      <c r="BH35" s="6">
        <f t="shared" si="10"/>
        <v>0.75938231469440842</v>
      </c>
      <c r="BJ35" s="4">
        <v>0.2</v>
      </c>
      <c r="BK35" s="4">
        <v>2.2999999999999998</v>
      </c>
      <c r="BL35" s="4">
        <v>1.7</v>
      </c>
      <c r="BM35" s="4">
        <f>SUM(BJ35:BL35)</f>
        <v>4.2</v>
      </c>
      <c r="BN35" s="4" t="s">
        <v>31</v>
      </c>
      <c r="BR35" s="4" t="s">
        <v>14</v>
      </c>
      <c r="BS35" s="4">
        <v>210</v>
      </c>
      <c r="BT35" s="5">
        <v>808</v>
      </c>
      <c r="BU35" s="4">
        <v>0.79300000000000004</v>
      </c>
      <c r="BV35" s="4">
        <v>0.77600000000000002</v>
      </c>
      <c r="BW35" s="4">
        <v>0.84799999999999998</v>
      </c>
      <c r="BX35" s="4">
        <v>0.69499999999999995</v>
      </c>
      <c r="BY35" s="6">
        <f t="shared" si="11"/>
        <v>0.78440790312300834</v>
      </c>
      <c r="CA35" s="4">
        <v>0.1</v>
      </c>
      <c r="CB35" s="4">
        <v>1.6</v>
      </c>
      <c r="CC35" s="4">
        <v>1.2</v>
      </c>
      <c r="CD35" s="4">
        <f>SUM(CA35:CC35)</f>
        <v>2.9000000000000004</v>
      </c>
      <c r="CE35" s="4" t="s">
        <v>31</v>
      </c>
    </row>
    <row r="37" spans="2:85">
      <c r="AP37" s="7"/>
      <c r="AQ37" s="7"/>
    </row>
    <row r="38" spans="2:85">
      <c r="AO38" s="22"/>
      <c r="AP38" s="23"/>
    </row>
    <row r="40" spans="2:85">
      <c r="B40" s="3" t="s">
        <v>11</v>
      </c>
      <c r="C40" s="12" t="s">
        <v>52</v>
      </c>
      <c r="D40" s="12" t="s">
        <v>53</v>
      </c>
      <c r="F40" s="3" t="s">
        <v>11</v>
      </c>
      <c r="G40" s="12" t="s">
        <v>52</v>
      </c>
      <c r="H40" s="12" t="s">
        <v>53</v>
      </c>
      <c r="K40" s="5"/>
      <c r="L40" s="12" t="s">
        <v>52</v>
      </c>
      <c r="M40" s="12" t="s">
        <v>27</v>
      </c>
      <c r="S40" s="3" t="s">
        <v>11</v>
      </c>
      <c r="T40" s="12" t="s">
        <v>52</v>
      </c>
      <c r="U40" s="12" t="s">
        <v>53</v>
      </c>
      <c r="W40" s="3" t="s">
        <v>11</v>
      </c>
      <c r="X40" s="12" t="s">
        <v>52</v>
      </c>
      <c r="Y40" s="12" t="s">
        <v>53</v>
      </c>
      <c r="AB40" s="5"/>
      <c r="AC40" s="12" t="s">
        <v>52</v>
      </c>
      <c r="AD40" s="12" t="s">
        <v>27</v>
      </c>
      <c r="AJ40" s="3" t="s">
        <v>11</v>
      </c>
      <c r="AK40" s="12" t="s">
        <v>52</v>
      </c>
      <c r="AL40" s="12" t="s">
        <v>53</v>
      </c>
      <c r="AN40" s="3" t="s">
        <v>11</v>
      </c>
      <c r="AO40" s="12" t="s">
        <v>52</v>
      </c>
      <c r="AP40" s="12" t="s">
        <v>53</v>
      </c>
      <c r="AS40" s="5"/>
      <c r="AT40" s="12" t="s">
        <v>52</v>
      </c>
      <c r="AU40" s="12" t="s">
        <v>27</v>
      </c>
      <c r="BA40" s="3" t="s">
        <v>11</v>
      </c>
      <c r="BB40" s="12" t="s">
        <v>52</v>
      </c>
      <c r="BC40" s="12" t="s">
        <v>53</v>
      </c>
      <c r="BE40" s="3" t="s">
        <v>11</v>
      </c>
      <c r="BF40" s="12" t="s">
        <v>52</v>
      </c>
      <c r="BG40" s="12" t="s">
        <v>53</v>
      </c>
      <c r="BJ40" s="5"/>
      <c r="BK40" s="12" t="s">
        <v>52</v>
      </c>
      <c r="BL40" s="12" t="s">
        <v>27</v>
      </c>
      <c r="BR40" s="3" t="s">
        <v>11</v>
      </c>
      <c r="BS40" s="12" t="s">
        <v>52</v>
      </c>
      <c r="BT40" s="12" t="s">
        <v>53</v>
      </c>
      <c r="BV40" s="3" t="s">
        <v>11</v>
      </c>
      <c r="BW40" s="12" t="s">
        <v>52</v>
      </c>
      <c r="BX40" s="12" t="s">
        <v>53</v>
      </c>
      <c r="CA40" s="5"/>
      <c r="CB40" s="12" t="s">
        <v>52</v>
      </c>
      <c r="CC40" s="12" t="s">
        <v>27</v>
      </c>
      <c r="CF40" s="7"/>
      <c r="CG40" s="7"/>
    </row>
    <row r="41" spans="2:85" ht="28">
      <c r="B41" s="3" t="s">
        <v>6</v>
      </c>
      <c r="C41" s="6">
        <f>AVERAGE(E14,E23,E32)</f>
        <v>0.60633333333333328</v>
      </c>
      <c r="D41" s="6">
        <f>STDEV(E14,E23,E32)</f>
        <v>8.0829037686547672E-3</v>
      </c>
      <c r="F41" s="3" t="s">
        <v>6</v>
      </c>
      <c r="G41" s="6">
        <f>AVERAGE(E16,E25,E34)</f>
        <v>0.58933333333333338</v>
      </c>
      <c r="H41" s="6">
        <f>STDEV(E16,E25,E34)</f>
        <v>1.8929694486000931E-2</v>
      </c>
      <c r="K41" s="18" t="s">
        <v>54</v>
      </c>
      <c r="L41" s="19">
        <f>AVERAGE(N17,N26,N35)</f>
        <v>4.5666666666666673</v>
      </c>
      <c r="M41" s="5" t="s">
        <v>55</v>
      </c>
      <c r="S41" s="3" t="s">
        <v>6</v>
      </c>
      <c r="T41" s="6">
        <f>AVERAGE(V14,V23,V32)</f>
        <v>0.59166666666666667</v>
      </c>
      <c r="U41" s="6">
        <f>STDEV(V14,V23,V32)</f>
        <v>1.1015141094572214E-2</v>
      </c>
      <c r="W41" s="3" t="s">
        <v>6</v>
      </c>
      <c r="X41" s="6">
        <f>AVERAGE(V16,V25,V34)</f>
        <v>0.51666666666666672</v>
      </c>
      <c r="Y41" s="6">
        <f>STDEV(V16,V25,V34)</f>
        <v>2.8867513459481316E-3</v>
      </c>
      <c r="AB41" s="18" t="s">
        <v>54</v>
      </c>
      <c r="AC41" s="19">
        <f>AVERAGE(AE17,AE26,AE35)</f>
        <v>4.3333333333333339</v>
      </c>
      <c r="AD41" s="5" t="s">
        <v>55</v>
      </c>
      <c r="AJ41" s="3" t="s">
        <v>6</v>
      </c>
      <c r="AK41" s="6">
        <f>AVERAGE(AM14,AM23,AM32)</f>
        <v>0.63</v>
      </c>
      <c r="AL41" s="6">
        <f>STDEV(AM14,AM23,AM32)</f>
        <v>8.1853527718724565E-3</v>
      </c>
      <c r="AN41" s="3" t="s">
        <v>6</v>
      </c>
      <c r="AO41" s="6">
        <f>AVERAGE(AM16,AM25,AM34)</f>
        <v>0.58333333333333337</v>
      </c>
      <c r="AP41" s="6">
        <f>STDEV(AM16,AM25,AM34)</f>
        <v>1.563116545025782E-2</v>
      </c>
      <c r="AS41" s="18" t="s">
        <v>54</v>
      </c>
      <c r="AT41" s="19">
        <f>AVERAGE(AV17,AV26,AV35)</f>
        <v>3.5</v>
      </c>
      <c r="AU41" s="5" t="s">
        <v>55</v>
      </c>
      <c r="BA41" s="3" t="s">
        <v>6</v>
      </c>
      <c r="BB41" s="6">
        <f>AVERAGE(BD14,BD23,BD32)</f>
        <v>0.70199999999999996</v>
      </c>
      <c r="BC41" s="6">
        <f>STDEV(BD14,BD23,BD32)</f>
        <v>3.6055512754639926E-3</v>
      </c>
      <c r="BE41" s="3" t="s">
        <v>6</v>
      </c>
      <c r="BF41" s="6">
        <f>AVERAGE(BD16,BD25,BD34)</f>
        <v>0.67133333333333345</v>
      </c>
      <c r="BG41" s="6">
        <f>STDEV(BD16,BD25,BD34)</f>
        <v>5.5075705472861069E-3</v>
      </c>
      <c r="BJ41" s="18" t="s">
        <v>54</v>
      </c>
      <c r="BK41" s="19">
        <f>AVERAGE(BM17,BM26,BM35)</f>
        <v>3.5</v>
      </c>
      <c r="BL41" s="5" t="s">
        <v>55</v>
      </c>
      <c r="BR41" s="3" t="s">
        <v>6</v>
      </c>
      <c r="BS41" s="6">
        <f>AVERAGE(BU14,BU23,BU32)</f>
        <v>0.86</v>
      </c>
      <c r="BT41" s="6">
        <f>STDEV(BU14,BU23,BU32)</f>
        <v>0</v>
      </c>
      <c r="BV41" s="3" t="s">
        <v>6</v>
      </c>
      <c r="BW41" s="6">
        <f>AVERAGE(BU16,BU25,BU34)</f>
        <v>0.95233333333333337</v>
      </c>
      <c r="BX41" s="6">
        <f>STDEV(BU16,BU25,BU34)</f>
        <v>2.0816659994661348E-3</v>
      </c>
      <c r="CA41" s="18" t="s">
        <v>54</v>
      </c>
      <c r="CB41" s="19">
        <f>AVERAGE(CD17,CD26,CD35)</f>
        <v>3.0666666666666669</v>
      </c>
      <c r="CC41" s="5" t="s">
        <v>55</v>
      </c>
      <c r="CF41" s="23"/>
    </row>
    <row r="42" spans="2:85">
      <c r="B42" s="3" t="s">
        <v>7</v>
      </c>
      <c r="C42" s="6">
        <f>AVERAGE(F14,F23,F32)</f>
        <v>0.72666666666666657</v>
      </c>
      <c r="D42" s="6">
        <f>STDEV(F14,F23,F32)</f>
        <v>1.1590225767142484E-2</v>
      </c>
      <c r="F42" s="3" t="s">
        <v>7</v>
      </c>
      <c r="G42" s="6">
        <f>AVERAGE(F16,F25,F34)</f>
        <v>0.53266666666666662</v>
      </c>
      <c r="H42" s="6">
        <f>STDEV(F16,F25,F34)</f>
        <v>4.2922410618851908E-2</v>
      </c>
      <c r="K42" s="26" t="s">
        <v>18</v>
      </c>
      <c r="L42" s="30">
        <f>AVERAGE(M14,M23,M32)</f>
        <v>0.37966666666666665</v>
      </c>
      <c r="M42" s="5" t="s">
        <v>58</v>
      </c>
      <c r="S42" s="3" t="s">
        <v>7</v>
      </c>
      <c r="T42" s="6">
        <f>AVERAGE(W14,W23,W32)</f>
        <v>0.59533333333333327</v>
      </c>
      <c r="U42" s="6">
        <f>STDEV(W14,W23,W32)</f>
        <v>6.3508529610858885E-3</v>
      </c>
      <c r="W42" s="3" t="s">
        <v>7</v>
      </c>
      <c r="X42" s="6">
        <f>AVERAGE(W16,W25,W34)</f>
        <v>0.46233333333333332</v>
      </c>
      <c r="Y42" s="6">
        <f>STDEV(W16,W25,W34)</f>
        <v>1.0503967504392468E-2</v>
      </c>
      <c r="AB42" s="26" t="s">
        <v>18</v>
      </c>
      <c r="AC42" s="30">
        <f>AVERAGE(AD14,AD23,AD32)</f>
        <v>0.43133333333333335</v>
      </c>
      <c r="AD42" s="5" t="s">
        <v>58</v>
      </c>
      <c r="AJ42" s="3" t="s">
        <v>7</v>
      </c>
      <c r="AK42" s="6">
        <f>AVERAGE(AN14,AN23,AN32)</f>
        <v>0.68500000000000005</v>
      </c>
      <c r="AL42" s="6">
        <f>STDEV(AN14,AN23,AN32)</f>
        <v>6.2449979983983592E-3</v>
      </c>
      <c r="AN42" s="3" t="s">
        <v>7</v>
      </c>
      <c r="AO42" s="6">
        <f>AVERAGE(AN16,AN25,AN34)</f>
        <v>0.37766666666666665</v>
      </c>
      <c r="AP42" s="6">
        <f>STDEV(AN16,AN25,AN34)</f>
        <v>1.8717193521821961E-2</v>
      </c>
      <c r="AS42" s="26" t="s">
        <v>18</v>
      </c>
      <c r="AT42" s="30">
        <f>AVERAGE(AU14,AU23,AU32)</f>
        <v>0.34833333333333333</v>
      </c>
      <c r="AU42" s="5" t="s">
        <v>58</v>
      </c>
      <c r="BA42" s="3" t="s">
        <v>7</v>
      </c>
      <c r="BB42" s="6">
        <f>AVERAGE(BE14,BE23,BE32)</f>
        <v>0.76933333333333331</v>
      </c>
      <c r="BC42" s="6">
        <f>STDEV(BE14,BE23,BE32)</f>
        <v>5.686240703077332E-3</v>
      </c>
      <c r="BE42" s="3" t="s">
        <v>7</v>
      </c>
      <c r="BF42" s="6">
        <f>AVERAGE(BE16,BE25,BE34)</f>
        <v>0.53333333333333333</v>
      </c>
      <c r="BG42" s="6">
        <f>STDEV(BE16,BE25,BE34)</f>
        <v>1.2423096769056161E-2</v>
      </c>
      <c r="BJ42" s="26" t="s">
        <v>18</v>
      </c>
      <c r="BK42" s="30">
        <f>AVERAGE(BL14,BL23,BL32)</f>
        <v>0.373</v>
      </c>
      <c r="BL42" s="5" t="s">
        <v>58</v>
      </c>
      <c r="BR42" s="3" t="s">
        <v>7</v>
      </c>
      <c r="BS42" s="6">
        <f>AVERAGE(BV14,BV23,BV32)</f>
        <v>0.871</v>
      </c>
      <c r="BT42" s="6">
        <f>STDEV(BV14,BV23,BV32)</f>
        <v>1.7320508075688789E-3</v>
      </c>
      <c r="BV42" s="3" t="s">
        <v>7</v>
      </c>
      <c r="BW42" s="6">
        <f>AVERAGE(BV16,BV25,BV34)</f>
        <v>0.96733333333333327</v>
      </c>
      <c r="BX42" s="6">
        <f>STDEV(BV16,BV25,BV34)</f>
        <v>1.5275252316519481E-3</v>
      </c>
      <c r="CA42" s="26" t="s">
        <v>18</v>
      </c>
      <c r="CB42" s="30">
        <f>AVERAGE(CC14,CC23,CC32)</f>
        <v>0.371</v>
      </c>
      <c r="CC42" s="5" t="s">
        <v>58</v>
      </c>
    </row>
    <row r="43" spans="2:85">
      <c r="B43" s="3" t="s">
        <v>8</v>
      </c>
      <c r="C43" s="21">
        <f>AVERAGE(G14,G23,G32)</f>
        <v>0.71466666666666656</v>
      </c>
      <c r="D43" s="6">
        <f>STDEV(G14,G23,G32)</f>
        <v>2.5166114784235857E-3</v>
      </c>
      <c r="F43" s="3" t="s">
        <v>8</v>
      </c>
      <c r="G43" s="21">
        <f>AVERAGE(G16,G25,G34)</f>
        <v>0.54500000000000004</v>
      </c>
      <c r="H43" s="6">
        <f>STDEV(G16,G25,G34)</f>
        <v>1.3228756555322966E-2</v>
      </c>
      <c r="K43" s="27"/>
      <c r="L43" s="31">
        <f>L42*60</f>
        <v>22.779999999999998</v>
      </c>
      <c r="M43" s="27" t="s">
        <v>59</v>
      </c>
      <c r="S43" s="3" t="s">
        <v>8</v>
      </c>
      <c r="T43" s="21">
        <f>AVERAGE(X14,X23,X32)</f>
        <v>0.6166666666666667</v>
      </c>
      <c r="U43" s="6">
        <f>STDEV(X14,X23,X32)</f>
        <v>3.7859388972001857E-3</v>
      </c>
      <c r="W43" s="3" t="s">
        <v>8</v>
      </c>
      <c r="X43" s="21">
        <f>AVERAGE(X16,X25,X34)</f>
        <v>0.46466666666666673</v>
      </c>
      <c r="Y43" s="6">
        <f>STDEV(X16,X25,X34)</f>
        <v>9.5043849529221503E-3</v>
      </c>
      <c r="AB43" s="27"/>
      <c r="AC43" s="31">
        <f>AC42*60</f>
        <v>25.880000000000003</v>
      </c>
      <c r="AD43" s="27" t="s">
        <v>59</v>
      </c>
      <c r="AJ43" s="3" t="s">
        <v>8</v>
      </c>
      <c r="AK43" s="21">
        <f>AVERAGE(AO14,AO23,AO32)</f>
        <v>0.70466666666666666</v>
      </c>
      <c r="AL43" s="6">
        <f>STDEV(AO14,AO23,AO32)</f>
        <v>3.7859388972001857E-3</v>
      </c>
      <c r="AN43" s="3" t="s">
        <v>8</v>
      </c>
      <c r="AO43" s="21">
        <f>AVERAGE(AO16,AO25,AO34)</f>
        <v>0.46733333333333338</v>
      </c>
      <c r="AP43" s="6">
        <f>STDEV(AO16,AO25,AO34)</f>
        <v>4.9328828623162197E-3</v>
      </c>
      <c r="AS43" s="27"/>
      <c r="AT43" s="31">
        <f>AT42*60</f>
        <v>20.9</v>
      </c>
      <c r="AU43" s="27" t="s">
        <v>59</v>
      </c>
      <c r="BA43" s="3" t="s">
        <v>8</v>
      </c>
      <c r="BB43" s="21">
        <f>AVERAGE(BF14,BF23,BF32)</f>
        <v>0.79400000000000004</v>
      </c>
      <c r="BC43" s="6">
        <f>STDEV(BF14,BF23,BF32)</f>
        <v>4.3588989435406778E-3</v>
      </c>
      <c r="BE43" s="3" t="s">
        <v>8</v>
      </c>
      <c r="BF43" s="21">
        <f>AVERAGE(BF16,BF25,BF34)</f>
        <v>0.626</v>
      </c>
      <c r="BG43" s="6">
        <f>STDEV(BF16,BF25,BF34)</f>
        <v>9.6436507609929632E-3</v>
      </c>
      <c r="BJ43" s="27"/>
      <c r="BK43" s="31">
        <f>BK42*60</f>
        <v>22.38</v>
      </c>
      <c r="BL43" s="27" t="s">
        <v>59</v>
      </c>
      <c r="BR43" s="3" t="s">
        <v>8</v>
      </c>
      <c r="BS43" s="21">
        <f>AVERAGE(BW14,BW23,BW32)</f>
        <v>0.91633333333333333</v>
      </c>
      <c r="BT43" s="6">
        <f>STDEV(BW14,BW23,BW32)</f>
        <v>2.0816659994661343E-3</v>
      </c>
      <c r="BV43" s="3" t="s">
        <v>8</v>
      </c>
      <c r="BW43" s="21">
        <f>AVERAGE(BW16,BW25,BW34)</f>
        <v>0.98899999999999999</v>
      </c>
      <c r="BX43" s="6">
        <f>STDEV(BW16,BW25,BW34)</f>
        <v>0</v>
      </c>
      <c r="CA43" s="27"/>
      <c r="CB43" s="31">
        <f>CB42*60</f>
        <v>22.259999999999998</v>
      </c>
      <c r="CC43" s="27" t="s">
        <v>59</v>
      </c>
    </row>
    <row r="44" spans="2:85">
      <c r="B44" s="3" t="s">
        <v>9</v>
      </c>
      <c r="C44" s="6">
        <f>AVERAGE(H14,H23,H32)</f>
        <v>0.52900000000000003</v>
      </c>
      <c r="D44" s="6">
        <f>STDEV(H14,H23,H32)</f>
        <v>2.0000000000000018E-3</v>
      </c>
      <c r="F44" s="3" t="s">
        <v>9</v>
      </c>
      <c r="G44" s="6">
        <f>AVERAGE(H16,H25,H34)</f>
        <v>0.31</v>
      </c>
      <c r="H44" s="6">
        <f>STDEV(H16,H25,H34)</f>
        <v>1.2489995996796807E-2</v>
      </c>
      <c r="S44" s="3" t="s">
        <v>9</v>
      </c>
      <c r="T44" s="6">
        <f>AVERAGE(Y14,Y23,Y32)</f>
        <v>0.41966666666666663</v>
      </c>
      <c r="U44" s="6">
        <f>STDEV(Y14,Y23,Y32)</f>
        <v>1.5275252316519481E-3</v>
      </c>
      <c r="W44" s="3" t="s">
        <v>9</v>
      </c>
      <c r="X44" s="6">
        <f>AVERAGE(Y16,Y25,Y34)</f>
        <v>0.27300000000000002</v>
      </c>
      <c r="Y44" s="6">
        <f>STDEV(Y16,Y25,Y34)</f>
        <v>7.0000000000000062E-3</v>
      </c>
      <c r="AJ44" s="3" t="s">
        <v>9</v>
      </c>
      <c r="AK44" s="6">
        <f>AVERAGE(AP14,AP23,AP32)</f>
        <v>0.52033333333333331</v>
      </c>
      <c r="AL44" s="6">
        <f>STDEV(AP14,AP23,AP32)</f>
        <v>2.5166114784235852E-3</v>
      </c>
      <c r="AN44" s="3" t="s">
        <v>9</v>
      </c>
      <c r="AO44" s="6">
        <f>AVERAGE(AP16,AP25,AP34)</f>
        <v>0.27366666666666667</v>
      </c>
      <c r="AP44" s="6">
        <f>STDEV(AP16,AP25,AP34)</f>
        <v>1.1547005383792527E-3</v>
      </c>
      <c r="BA44" s="3" t="s">
        <v>9</v>
      </c>
      <c r="BB44" s="6">
        <f>AVERAGE(BG14,BG23,BG32)</f>
        <v>0.57366666666666666</v>
      </c>
      <c r="BC44" s="6">
        <f>STDEV(BG14,BG23,BG32)</f>
        <v>2.0816659994661348E-3</v>
      </c>
      <c r="BE44" s="3" t="s">
        <v>9</v>
      </c>
      <c r="BF44" s="6">
        <f>AVERAGE(BG16,BG25,BG34)</f>
        <v>0.34133333333333332</v>
      </c>
      <c r="BG44" s="6">
        <f>STDEV(BG16,BG25,BG34)</f>
        <v>5.5075705472860783E-3</v>
      </c>
      <c r="BR44" s="3" t="s">
        <v>9</v>
      </c>
      <c r="BS44" s="6">
        <f>AVERAGE(BX14,BX23,BX32)</f>
        <v>0.72666666666666657</v>
      </c>
      <c r="BT44" s="6">
        <f>STDEV(BX14,BX23,BX32)</f>
        <v>1.5275252316519481E-3</v>
      </c>
      <c r="BV44" s="3" t="s">
        <v>9</v>
      </c>
      <c r="BW44" s="6">
        <f>AVERAGE(BX16,BX25,BX34)</f>
        <v>0.79333333333333345</v>
      </c>
      <c r="BX44" s="6">
        <f>STDEV(BX16,BX25,BX34)</f>
        <v>5.7735026918962634E-4</v>
      </c>
    </row>
    <row r="45" spans="2:85">
      <c r="B45" s="3" t="s">
        <v>10</v>
      </c>
      <c r="C45" s="6">
        <f>AVERAGE(I14,I23,I32)</f>
        <v>0.66099746368541545</v>
      </c>
      <c r="D45" s="6">
        <f>STDEV(I14,I23,I32)</f>
        <v>4.6937557103021643E-3</v>
      </c>
      <c r="F45" s="3" t="s">
        <v>10</v>
      </c>
      <c r="G45" s="6">
        <f>AVERAGE(I16,I25,I34)</f>
        <v>0.55851100442084478</v>
      </c>
      <c r="H45" s="6">
        <f>STDEV(I16,I25,I34)</f>
        <v>1.7321405821646669E-2</v>
      </c>
      <c r="S45" s="3" t="s">
        <v>10</v>
      </c>
      <c r="T45" s="6">
        <f>AVERAGE(Z14,Z23,Z32)</f>
        <v>0.59342585988109653</v>
      </c>
      <c r="U45" s="6">
        <f>STDEV(Z14,Z23,Z32)</f>
        <v>4.5840974448419303E-3</v>
      </c>
      <c r="W45" s="3" t="s">
        <v>10</v>
      </c>
      <c r="X45" s="6">
        <f>AVERAGE(Z16,Z25,Z34)</f>
        <v>0.48793037421833557</v>
      </c>
      <c r="Y45" s="6">
        <f>STDEV(Z16,Z25,Z34)</f>
        <v>4.8021356296046097E-3</v>
      </c>
      <c r="AJ45" s="3" t="s">
        <v>10</v>
      </c>
      <c r="AK45" s="6">
        <f>AVERAGE(AQ14,AQ23,AQ32)</f>
        <v>0.65632294212869347</v>
      </c>
      <c r="AL45" s="6">
        <f>STDEV(AQ14,AQ23,AQ32)</f>
        <v>5.3796876098676939E-3</v>
      </c>
      <c r="AN45" s="3" t="s">
        <v>10</v>
      </c>
      <c r="AO45" s="6">
        <f>AVERAGE(AQ16,AQ25,AQ34)</f>
        <v>0.45809229380638689</v>
      </c>
      <c r="AP45" s="6">
        <f>STDEV(AQ16,AQ25,AQ34)</f>
        <v>9.5226297822079246E-3</v>
      </c>
      <c r="BA45" s="3" t="s">
        <v>10</v>
      </c>
      <c r="BB45" s="6">
        <f>AVERAGE(BH14,BH23,BH32)</f>
        <v>0.73411153429665565</v>
      </c>
      <c r="BC45" s="6">
        <f>STDEV(BH14,BH23,BH32)</f>
        <v>2.376962760398455E-3</v>
      </c>
      <c r="BE45" s="3" t="s">
        <v>10</v>
      </c>
      <c r="BF45" s="6">
        <f>AVERAGE(BH16,BH25,BH34)</f>
        <v>0.5943725241271669</v>
      </c>
      <c r="BG45" s="6">
        <f>STDEV(BH16,BH25,BH34)</f>
        <v>8.2498061700840616E-3</v>
      </c>
      <c r="BR45" s="3" t="s">
        <v>10</v>
      </c>
      <c r="BS45" s="6">
        <f>AVERAGE(BY14,BY23,BY32)</f>
        <v>0.86546447839264173</v>
      </c>
      <c r="BT45" s="6">
        <f>STDEV(BY14,BY23,BY32)</f>
        <v>8.555485204025143E-4</v>
      </c>
      <c r="BV45" s="3" t="s">
        <v>10</v>
      </c>
      <c r="BW45" s="6">
        <f>AVERAGE(BY16,BY25,BY34)</f>
        <v>0.9597726399122829</v>
      </c>
      <c r="BX45" s="6">
        <f>STDEV(BY16,BY25,BY34)</f>
        <v>5.9234636414256755E-4</v>
      </c>
    </row>
    <row r="50" spans="2:76">
      <c r="B50" s="3" t="s">
        <v>11</v>
      </c>
      <c r="C50" s="12" t="s">
        <v>52</v>
      </c>
      <c r="D50" s="12" t="s">
        <v>53</v>
      </c>
      <c r="F50" s="3" t="s">
        <v>11</v>
      </c>
      <c r="G50" s="12" t="s">
        <v>52</v>
      </c>
      <c r="H50" s="12" t="s">
        <v>53</v>
      </c>
      <c r="S50" s="3" t="s">
        <v>11</v>
      </c>
      <c r="T50" s="12" t="s">
        <v>52</v>
      </c>
      <c r="U50" s="12" t="s">
        <v>53</v>
      </c>
      <c r="W50" s="3" t="s">
        <v>11</v>
      </c>
      <c r="X50" s="12" t="s">
        <v>52</v>
      </c>
      <c r="Y50" s="12" t="s">
        <v>53</v>
      </c>
      <c r="AJ50" s="3" t="s">
        <v>11</v>
      </c>
      <c r="AK50" s="12" t="s">
        <v>52</v>
      </c>
      <c r="AL50" s="12" t="s">
        <v>53</v>
      </c>
      <c r="AN50" s="3" t="s">
        <v>11</v>
      </c>
      <c r="AO50" s="12" t="s">
        <v>52</v>
      </c>
      <c r="AP50" s="12" t="s">
        <v>53</v>
      </c>
      <c r="BA50" s="3" t="s">
        <v>11</v>
      </c>
      <c r="BB50" s="12" t="s">
        <v>52</v>
      </c>
      <c r="BC50" s="12" t="s">
        <v>53</v>
      </c>
      <c r="BE50" s="3" t="s">
        <v>11</v>
      </c>
      <c r="BF50" s="12" t="s">
        <v>52</v>
      </c>
      <c r="BG50" s="12" t="s">
        <v>53</v>
      </c>
      <c r="BR50" s="3" t="s">
        <v>11</v>
      </c>
      <c r="BS50" s="12" t="s">
        <v>52</v>
      </c>
      <c r="BT50" s="12" t="s">
        <v>53</v>
      </c>
      <c r="BV50" s="3" t="s">
        <v>11</v>
      </c>
      <c r="BW50" s="12" t="s">
        <v>52</v>
      </c>
      <c r="BX50" s="12" t="s">
        <v>53</v>
      </c>
    </row>
    <row r="51" spans="2:76">
      <c r="B51" s="3" t="s">
        <v>6</v>
      </c>
      <c r="C51" s="6">
        <f>AVERAGE(E15,E24,E33)</f>
        <v>0.58466666666666656</v>
      </c>
      <c r="D51" s="6">
        <f>STDEV(E15,E24,E33)</f>
        <v>1.0115993936995688E-2</v>
      </c>
      <c r="F51" s="3" t="s">
        <v>6</v>
      </c>
      <c r="G51" s="6">
        <f>AVERAGE(E17,E26,E35)</f>
        <v>0.64433333333333331</v>
      </c>
      <c r="H51" s="6">
        <f>STDEV(E17,E26,E35)</f>
        <v>3.2145502536643214E-3</v>
      </c>
      <c r="S51" s="3" t="s">
        <v>6</v>
      </c>
      <c r="T51" s="6">
        <f>AVERAGE(V15,V24,V33)</f>
        <v>0.61399999999999999</v>
      </c>
      <c r="U51" s="6">
        <f>STDEV(V15,V24,V33)</f>
        <v>2.1931712199461328E-2</v>
      </c>
      <c r="W51" s="3" t="s">
        <v>6</v>
      </c>
      <c r="X51" s="6">
        <f>AVERAGE(V17,V26,V35)</f>
        <v>0.64366666666666672</v>
      </c>
      <c r="Y51" s="6">
        <f>STDEV(V17,V26,V35)</f>
        <v>9.7125348562223188E-3</v>
      </c>
      <c r="AJ51" s="3" t="s">
        <v>6</v>
      </c>
      <c r="AK51" s="6">
        <f>AVERAGE(AM15,AM24,AM33)</f>
        <v>0.6273333333333333</v>
      </c>
      <c r="AL51" s="6">
        <f>STDEV(AM15,AM24,AM33)</f>
        <v>4.0414518843273836E-3</v>
      </c>
      <c r="AN51" s="3" t="s">
        <v>6</v>
      </c>
      <c r="AO51" s="6">
        <f>AVERAGE(AM17,AM26,AM35)</f>
        <v>0.67966666666666675</v>
      </c>
      <c r="AP51" s="6">
        <f>STDEV(AM17,AM26,AM35)</f>
        <v>1.2503332889007325E-2</v>
      </c>
      <c r="BA51" s="3" t="s">
        <v>6</v>
      </c>
      <c r="BB51" s="6">
        <f>AVERAGE(BD15,BD24,BD33)</f>
        <v>0.7466666666666667</v>
      </c>
      <c r="BC51" s="6">
        <f>STDEV(BD15,BD24,BD33)</f>
        <v>1.0214368964029717E-2</v>
      </c>
      <c r="BE51" s="3" t="s">
        <v>6</v>
      </c>
      <c r="BF51" s="6">
        <f>AVERAGE(BD17,BD26,BD35)</f>
        <v>0.68800000000000006</v>
      </c>
      <c r="BG51" s="6">
        <f>STDEV(BD17,BD26,BD35)</f>
        <v>9.5393920141694007E-3</v>
      </c>
      <c r="BR51" s="3" t="s">
        <v>6</v>
      </c>
      <c r="BS51" s="6">
        <f>AVERAGE(BU15,BU24,BU33)</f>
        <v>0.83599999999999997</v>
      </c>
      <c r="BT51" s="6">
        <f>STDEV(BU15,BU24,BU33)</f>
        <v>2.6457513110645929E-3</v>
      </c>
      <c r="BV51" s="3" t="s">
        <v>6</v>
      </c>
      <c r="BW51" s="6">
        <f>AVERAGE(BU17,BU26,BU35)</f>
        <v>0.79233333333333344</v>
      </c>
      <c r="BX51" s="6">
        <f>STDEV(BU17,BU26,BU35)</f>
        <v>3.0550504633038958E-3</v>
      </c>
    </row>
    <row r="52" spans="2:76">
      <c r="B52" s="3" t="s">
        <v>7</v>
      </c>
      <c r="C52" s="6">
        <f>AVERAGE(F15,F24,F33)</f>
        <v>0.79933333333333334</v>
      </c>
      <c r="D52" s="6">
        <f>STDEV(F15,F24,F33)</f>
        <v>1.3051181300301211E-2</v>
      </c>
      <c r="F52" s="3" t="s">
        <v>7</v>
      </c>
      <c r="G52" s="6">
        <f>AVERAGE(F17,F26,F35)</f>
        <v>0.84699999999999998</v>
      </c>
      <c r="H52" s="6">
        <f>STDEV(F17,F26,F35)</f>
        <v>5.5677643628300267E-3</v>
      </c>
      <c r="S52" s="3" t="s">
        <v>7</v>
      </c>
      <c r="T52" s="6">
        <f>AVERAGE(W15,W24,W33)</f>
        <v>0.84466666666666657</v>
      </c>
      <c r="U52" s="6">
        <f>STDEV(W15,W24,W33)</f>
        <v>9.073771725877474E-3</v>
      </c>
      <c r="W52" s="3" t="s">
        <v>7</v>
      </c>
      <c r="X52" s="6">
        <f>AVERAGE(W17,W26,W35)</f>
        <v>0.47833333333333333</v>
      </c>
      <c r="Y52" s="6">
        <f>STDEV(W17,W26,W35)</f>
        <v>3.2145502536643214E-3</v>
      </c>
      <c r="AJ52" s="3" t="s">
        <v>7</v>
      </c>
      <c r="AK52" s="6">
        <f>AVERAGE(AN15,AN24,AN33)</f>
        <v>0.82133333333333336</v>
      </c>
      <c r="AL52" s="6">
        <f>STDEV(AN15,AN24,AN33)</f>
        <v>1.3428824718989074E-2</v>
      </c>
      <c r="AN52" s="3" t="s">
        <v>7</v>
      </c>
      <c r="AO52" s="6">
        <f>AVERAGE(AN17,AN26,AN35)</f>
        <v>0.85633333333333328</v>
      </c>
      <c r="AP52" s="6">
        <f>STDEV(AN17,AN26,AN35)</f>
        <v>1.9035055380358996E-2</v>
      </c>
      <c r="BA52" s="3" t="s">
        <v>7</v>
      </c>
      <c r="BB52" s="6">
        <f>AVERAGE(BE15,BE24,BE33)</f>
        <v>0.94166666666666676</v>
      </c>
      <c r="BC52" s="6">
        <f>STDEV(BE15,BE24,BE33)</f>
        <v>4.366157731156E-2</v>
      </c>
      <c r="BE52" s="3" t="s">
        <v>7</v>
      </c>
      <c r="BF52" s="6">
        <f>AVERAGE(BE17,BE26,BE35)</f>
        <v>0.85633333333333328</v>
      </c>
      <c r="BG52" s="6">
        <f>STDEV(BE17,BE26,BE35)</f>
        <v>3.2145502536643214E-3</v>
      </c>
      <c r="BR52" s="3" t="s">
        <v>7</v>
      </c>
      <c r="BS52" s="6">
        <f>AVERAGE(BV15,BV24,BV33)</f>
        <v>0.86399999999999999</v>
      </c>
      <c r="BT52" s="6">
        <f>STDEV(BV15,BV24,BV33)</f>
        <v>2.6457513110645929E-3</v>
      </c>
      <c r="BV52" s="3" t="s">
        <v>7</v>
      </c>
      <c r="BW52" s="6">
        <f>AVERAGE(BV17,BV26,BV35)</f>
        <v>0.78200000000000003</v>
      </c>
      <c r="BX52" s="6">
        <f>STDEV(BV17,BV26,BV35)</f>
        <v>6.0000000000000053E-3</v>
      </c>
    </row>
    <row r="53" spans="2:76">
      <c r="B53" s="3" t="s">
        <v>8</v>
      </c>
      <c r="C53" s="21">
        <f>AVERAGE(G15,G24,G33)</f>
        <v>0.76600000000000001</v>
      </c>
      <c r="D53" s="6">
        <f>STDEV(G15,G24,G33)</f>
        <v>1.7320508075688791E-3</v>
      </c>
      <c r="F53" s="3" t="s">
        <v>8</v>
      </c>
      <c r="G53" s="21">
        <f>AVERAGE(G17,G26,G35)</f>
        <v>0.83300000000000007</v>
      </c>
      <c r="H53" s="6">
        <f>STDEV(G17,G26,G35)</f>
        <v>6.0827625302982248E-3</v>
      </c>
      <c r="S53" s="3" t="s">
        <v>8</v>
      </c>
      <c r="T53" s="21">
        <f>AVERAGE(X15,X24,X33)</f>
        <v>0.81599999999999995</v>
      </c>
      <c r="U53" s="6">
        <f>STDEV(X15,X24,X33)</f>
        <v>6.9282032302754515E-3</v>
      </c>
      <c r="W53" s="3" t="s">
        <v>8</v>
      </c>
      <c r="X53" s="21">
        <f>AVERAGE(X17,X26,X35)</f>
        <v>0.57033333333333336</v>
      </c>
      <c r="Y53" s="6">
        <f>STDEV(X17,X26,X35)</f>
        <v>8.5049005481153354E-3</v>
      </c>
      <c r="AJ53" s="3" t="s">
        <v>8</v>
      </c>
      <c r="AK53" s="21">
        <f>AVERAGE(AO15,AO24,AO33)</f>
        <v>0.80566666666666675</v>
      </c>
      <c r="AL53" s="6">
        <f>STDEV(AO15,AO24,AO33)</f>
        <v>3.5118845842842497E-3</v>
      </c>
      <c r="AN53" s="3" t="s">
        <v>8</v>
      </c>
      <c r="AO53" s="21">
        <f>AVERAGE(AO17,AO26,AO35)</f>
        <v>0.84099999999999986</v>
      </c>
      <c r="AP53" s="6">
        <f>STDEV(AO17,AO26,AO35)</f>
        <v>3.4641016151377574E-3</v>
      </c>
      <c r="BA53" s="3" t="s">
        <v>8</v>
      </c>
      <c r="BB53" s="21">
        <f>AVERAGE(BF15,BF24,BF33)</f>
        <v>0.91200000000000003</v>
      </c>
      <c r="BC53" s="6">
        <f>STDEV(BF15,BF24,BF33)</f>
        <v>1.7320508075688791E-3</v>
      </c>
      <c r="BE53" s="3" t="s">
        <v>8</v>
      </c>
      <c r="BF53" s="21">
        <f>AVERAGE(BF17,BF26,BF35)</f>
        <v>0.84366666666666668</v>
      </c>
      <c r="BG53" s="6">
        <f>STDEV(BF17,BF26,BF35)</f>
        <v>4.7258156262526127E-3</v>
      </c>
      <c r="BR53" s="3" t="s">
        <v>8</v>
      </c>
      <c r="BS53" s="21">
        <f>AVERAGE(BW15,BW24,BW33)</f>
        <v>0.91500000000000004</v>
      </c>
      <c r="BT53" s="6">
        <f>STDEV(BW15,BW24,BW33)</f>
        <v>2.6457513110645929E-3</v>
      </c>
      <c r="BV53" s="3" t="s">
        <v>8</v>
      </c>
      <c r="BW53" s="21">
        <f>AVERAGE(BW17,BW26,BW35)</f>
        <v>0.84433333333333327</v>
      </c>
      <c r="BX53" s="6">
        <f>STDEV(BW17,BW26,BW35)</f>
        <v>3.5118845842842497E-3</v>
      </c>
    </row>
    <row r="54" spans="2:76">
      <c r="B54" s="3" t="s">
        <v>9</v>
      </c>
      <c r="C54" s="6">
        <f>AVERAGE(H15,H24,H33)</f>
        <v>0.56366666666666665</v>
      </c>
      <c r="D54" s="6">
        <f>STDEV(H15,H24,H33)</f>
        <v>1.5275252316518874E-3</v>
      </c>
      <c r="F54" s="3" t="s">
        <v>9</v>
      </c>
      <c r="G54" s="6">
        <f>AVERAGE(H17,H26,H35)</f>
        <v>0.71366666666666667</v>
      </c>
      <c r="H54" s="6">
        <f>STDEV(H17,H26,H35)</f>
        <v>1.0016652800877822E-2</v>
      </c>
      <c r="S54" s="3" t="s">
        <v>9</v>
      </c>
      <c r="T54" s="6">
        <f>AVERAGE(Y15,Y24,Y33)</f>
        <v>0.59533333333333338</v>
      </c>
      <c r="U54" s="6">
        <f>STDEV(Y15,Y24,Y33)</f>
        <v>5.0332229568471705E-3</v>
      </c>
      <c r="W54" s="3" t="s">
        <v>9</v>
      </c>
      <c r="X54" s="6">
        <f>AVERAGE(Y17,Y26,Y35)</f>
        <v>0.38999999999999996</v>
      </c>
      <c r="Y54" s="6">
        <f>STDEV(Y17,Y26,Y35)</f>
        <v>7.2111025509279851E-3</v>
      </c>
      <c r="AJ54" s="3" t="s">
        <v>9</v>
      </c>
      <c r="AK54" s="6">
        <f>AVERAGE(AP15,AP24,AP33)</f>
        <v>0.59033333333333327</v>
      </c>
      <c r="AL54" s="6">
        <f>STDEV(AP15,AP24,AP33)</f>
        <v>3.5118845842842497E-3</v>
      </c>
      <c r="AN54" s="3" t="s">
        <v>9</v>
      </c>
      <c r="AO54" s="6">
        <f>AVERAGE(AP17,AP26,AP35)</f>
        <v>0.69666666666666666</v>
      </c>
      <c r="AP54" s="6">
        <f>STDEV(AP17,AP26,AP35)</f>
        <v>5.5075705472861069E-3</v>
      </c>
      <c r="BA54" s="3" t="s">
        <v>9</v>
      </c>
      <c r="BB54" s="6">
        <f>AVERAGE(BG15,BG24,BG33)</f>
        <v>0.68533333333333335</v>
      </c>
      <c r="BC54" s="6">
        <f>STDEV(BG15,BG24,BG33)</f>
        <v>1.1547005383792527E-3</v>
      </c>
      <c r="BE54" s="3" t="s">
        <v>9</v>
      </c>
      <c r="BF54" s="6">
        <f>AVERAGE(BG17,BG26,BG35)</f>
        <v>0.69399999999999995</v>
      </c>
      <c r="BG54" s="6">
        <f>STDEV(BG17,BG26,BG35)</f>
        <v>1.0000000000000009E-3</v>
      </c>
      <c r="BR54" s="3" t="s">
        <v>9</v>
      </c>
      <c r="BS54" s="6">
        <f>AVERAGE(BX15,BX24,BX33)</f>
        <v>0.69166666666666676</v>
      </c>
      <c r="BT54" s="6">
        <f>STDEV(BX15,BX24,BX33)</f>
        <v>5.7735026918962634E-4</v>
      </c>
      <c r="BV54" s="3" t="s">
        <v>9</v>
      </c>
      <c r="BW54" s="6">
        <f>AVERAGE(BX17,BX26,BX35)</f>
        <v>0.69399999999999995</v>
      </c>
      <c r="BX54" s="6">
        <f>STDEV(BX17,BX26,BX35)</f>
        <v>3.6055512754639926E-3</v>
      </c>
    </row>
    <row r="55" spans="2:76">
      <c r="B55" s="3" t="s">
        <v>10</v>
      </c>
      <c r="C55" s="6">
        <f>AVERAGE(I15,I24,I33)</f>
        <v>0.67523026153989874</v>
      </c>
      <c r="D55" s="6">
        <f>STDEV(I15,I24,I33)</f>
        <v>2.7134154336942687E-3</v>
      </c>
      <c r="F55" s="3" t="s">
        <v>10</v>
      </c>
      <c r="G55" s="6">
        <f>AVERAGE(I17,I26,I35)</f>
        <v>0.73188529382781164</v>
      </c>
      <c r="H55" s="6">
        <f>STDEV(I17,I26,I35)</f>
        <v>2.4387437677789552E-3</v>
      </c>
      <c r="S55" s="3" t="s">
        <v>10</v>
      </c>
      <c r="T55" s="6">
        <f>AVERAGE(Z15,Z24,Z33)</f>
        <v>0.710871930689707</v>
      </c>
      <c r="U55" s="6">
        <f>STDEV(Z15,Z24,Z33)</f>
        <v>1.2896948490261677E-2</v>
      </c>
      <c r="W55" s="3" t="s">
        <v>10</v>
      </c>
      <c r="X55" s="6">
        <f>AVERAGE(Z17,Z26,Z35)</f>
        <v>0.54877615172836214</v>
      </c>
      <c r="Y55" s="6">
        <f>STDEV(Z17,Z26,Z35)</f>
        <v>1.497097564964229E-3</v>
      </c>
      <c r="AJ55" s="3" t="s">
        <v>10</v>
      </c>
      <c r="AK55" s="6">
        <f>AVERAGE(AQ15,AQ24,AQ33)</f>
        <v>0.711307448268932</v>
      </c>
      <c r="AL55" s="6">
        <f>STDEV(AQ15,AQ24,AQ33)</f>
        <v>5.7122411622681467E-3</v>
      </c>
      <c r="AN55" s="3" t="s">
        <v>10</v>
      </c>
      <c r="AO55" s="6">
        <f>AVERAGE(AQ17,AQ26,AQ35)</f>
        <v>0.75769282527088</v>
      </c>
      <c r="AP55" s="6">
        <f>STDEV(AQ17,AQ26,AQ35)</f>
        <v>8.1386472153385046E-3</v>
      </c>
      <c r="BA55" s="3" t="s">
        <v>10</v>
      </c>
      <c r="BB55" s="6">
        <f>AVERAGE(BH15,BH24,BH33)</f>
        <v>0.83241779099408741</v>
      </c>
      <c r="BC55" s="6">
        <f>STDEV(BH15,BH24,BH33)</f>
        <v>1.0358043824030907E-2</v>
      </c>
      <c r="BE55" s="3" t="s">
        <v>10</v>
      </c>
      <c r="BF55" s="6">
        <f>AVERAGE(BH17,BH26,BH35)</f>
        <v>0.76295787172017204</v>
      </c>
      <c r="BG55" s="6">
        <f>STDEV(BH17,BH26,BH35)</f>
        <v>5.0737949951185583E-3</v>
      </c>
      <c r="BR55" s="3" t="s">
        <v>10</v>
      </c>
      <c r="BS55" s="6">
        <f>AVERAGE(BY15,BY24,BY33)</f>
        <v>0.84976392156862746</v>
      </c>
      <c r="BT55" s="6">
        <f>STDEV(BY15,BY24,BY33)</f>
        <v>9.1192281993990784E-5</v>
      </c>
      <c r="BV55" s="3" t="s">
        <v>10</v>
      </c>
      <c r="BW55" s="6">
        <f>AVERAGE(BY17,BY26,BY35)</f>
        <v>0.78711800110441432</v>
      </c>
      <c r="BX55" s="6">
        <f>STDEV(BY17,BY26,BY35)</f>
        <v>2.3471648025148737E-3</v>
      </c>
    </row>
    <row r="59" spans="2:76">
      <c r="B59" s="7"/>
      <c r="R59" s="7"/>
      <c r="AJ59" s="7"/>
      <c r="BA59" s="7"/>
      <c r="BS59" s="7"/>
    </row>
    <row r="73" spans="11:80">
      <c r="K73" s="7"/>
    </row>
    <row r="74" spans="11:80">
      <c r="AA74" s="7"/>
      <c r="AT74" s="7"/>
    </row>
    <row r="75" spans="11:80">
      <c r="CB75" s="7"/>
    </row>
    <row r="76" spans="11:80">
      <c r="BK76" s="7"/>
    </row>
    <row r="82" spans="2:71">
      <c r="BS82" s="7"/>
    </row>
    <row r="83" spans="2:71">
      <c r="B83" s="7"/>
      <c r="R83" s="7"/>
    </row>
    <row r="84" spans="2:71">
      <c r="AJ84" s="7"/>
      <c r="BA84" s="7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5CE03-D201-43E6-B5E6-CCB5729F3B70}">
  <dimension ref="B1:BP44"/>
  <sheetViews>
    <sheetView zoomScale="55" zoomScaleNormal="55" workbookViewId="0">
      <selection activeCell="BB125" sqref="BB125"/>
    </sheetView>
  </sheetViews>
  <sheetFormatPr defaultRowHeight="14"/>
  <cols>
    <col min="2" max="2" width="17.75" customWidth="1"/>
    <col min="11" max="11" width="14.1640625" bestFit="1" customWidth="1"/>
    <col min="15" max="15" width="23.6640625" bestFit="1" customWidth="1"/>
    <col min="16" max="16" width="10" customWidth="1"/>
    <col min="28" max="28" width="10.6640625" customWidth="1"/>
    <col min="32" max="32" width="10.5" customWidth="1"/>
    <col min="45" max="45" width="10.83203125" customWidth="1"/>
    <col min="49" max="49" width="9.33203125" customWidth="1"/>
    <col min="50" max="50" width="10" customWidth="1"/>
    <col min="62" max="62" width="9.9140625" customWidth="1"/>
    <col min="66" max="66" width="10.25" customWidth="1"/>
    <col min="67" max="67" width="9.33203125" customWidth="1"/>
  </cols>
  <sheetData>
    <row r="1" spans="2:68" ht="45">
      <c r="B1" s="1" t="s">
        <v>35</v>
      </c>
      <c r="K1" s="7"/>
    </row>
    <row r="9" spans="2:68">
      <c r="B9" t="s">
        <v>36</v>
      </c>
      <c r="C9" s="17" t="s">
        <v>62</v>
      </c>
      <c r="S9" t="s">
        <v>36</v>
      </c>
      <c r="T9" s="16" t="s">
        <v>37</v>
      </c>
      <c r="AJ9" t="s">
        <v>36</v>
      </c>
      <c r="AK9" s="14" t="s">
        <v>38</v>
      </c>
      <c r="BA9" t="s">
        <v>36</v>
      </c>
      <c r="BB9" s="15" t="s">
        <v>39</v>
      </c>
    </row>
    <row r="10" spans="2:68">
      <c r="B10" t="s">
        <v>1</v>
      </c>
      <c r="C10" s="2" t="s">
        <v>30</v>
      </c>
      <c r="K10" s="7" t="s">
        <v>15</v>
      </c>
      <c r="L10" t="s">
        <v>61</v>
      </c>
      <c r="S10" t="s">
        <v>1</v>
      </c>
      <c r="T10" s="2" t="s">
        <v>30</v>
      </c>
      <c r="AB10" s="7" t="s">
        <v>15</v>
      </c>
      <c r="AD10" t="s">
        <v>61</v>
      </c>
      <c r="AJ10" t="s">
        <v>1</v>
      </c>
      <c r="AK10" s="2" t="s">
        <v>30</v>
      </c>
      <c r="AS10" s="7" t="s">
        <v>15</v>
      </c>
      <c r="AU10" t="s">
        <v>61</v>
      </c>
      <c r="BA10" t="s">
        <v>1</v>
      </c>
      <c r="BB10" s="2" t="s">
        <v>30</v>
      </c>
      <c r="BJ10" s="7" t="s">
        <v>15</v>
      </c>
      <c r="BL10" t="s">
        <v>61</v>
      </c>
    </row>
    <row r="12" spans="2:68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K12" s="3" t="s">
        <v>16</v>
      </c>
      <c r="L12" s="3" t="s">
        <v>17</v>
      </c>
      <c r="M12" s="3" t="s">
        <v>57</v>
      </c>
      <c r="N12" s="3" t="s">
        <v>19</v>
      </c>
      <c r="O12" s="3" t="s">
        <v>20</v>
      </c>
      <c r="P12" s="3" t="s">
        <v>21</v>
      </c>
      <c r="Q12" s="8" t="s">
        <v>22</v>
      </c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  <c r="X12" s="3" t="s">
        <v>8</v>
      </c>
      <c r="Y12" s="3" t="s">
        <v>9</v>
      </c>
      <c r="Z12" s="3" t="s">
        <v>10</v>
      </c>
      <c r="AB12" s="3" t="s">
        <v>16</v>
      </c>
      <c r="AC12" s="3" t="s">
        <v>17</v>
      </c>
      <c r="AD12" s="3" t="s">
        <v>57</v>
      </c>
      <c r="AE12" s="3" t="s">
        <v>19</v>
      </c>
      <c r="AF12" s="3" t="s">
        <v>20</v>
      </c>
      <c r="AG12" s="3" t="s">
        <v>21</v>
      </c>
      <c r="AH12" s="8" t="s">
        <v>22</v>
      </c>
      <c r="AJ12" s="3" t="s">
        <v>3</v>
      </c>
      <c r="AK12" s="3" t="s">
        <v>4</v>
      </c>
      <c r="AL12" s="3" t="s">
        <v>5</v>
      </c>
      <c r="AM12" s="3" t="s">
        <v>6</v>
      </c>
      <c r="AN12" s="3" t="s">
        <v>7</v>
      </c>
      <c r="AO12" s="3" t="s">
        <v>8</v>
      </c>
      <c r="AP12" s="3" t="s">
        <v>9</v>
      </c>
      <c r="AQ12" s="3" t="s">
        <v>10</v>
      </c>
      <c r="AS12" s="3" t="s">
        <v>16</v>
      </c>
      <c r="AT12" s="3" t="s">
        <v>17</v>
      </c>
      <c r="AU12" s="3" t="s">
        <v>57</v>
      </c>
      <c r="AV12" s="3" t="s">
        <v>19</v>
      </c>
      <c r="AW12" s="3" t="s">
        <v>20</v>
      </c>
      <c r="AX12" s="3" t="s">
        <v>21</v>
      </c>
      <c r="AY12" s="8" t="s">
        <v>22</v>
      </c>
      <c r="BA12" s="3" t="s">
        <v>3</v>
      </c>
      <c r="BB12" s="3" t="s">
        <v>4</v>
      </c>
      <c r="BC12" s="3" t="s">
        <v>5</v>
      </c>
      <c r="BD12" s="3" t="s">
        <v>6</v>
      </c>
      <c r="BE12" s="3" t="s">
        <v>7</v>
      </c>
      <c r="BF12" s="3" t="s">
        <v>8</v>
      </c>
      <c r="BG12" s="3" t="s">
        <v>9</v>
      </c>
      <c r="BH12" s="3" t="s">
        <v>10</v>
      </c>
      <c r="BJ12" s="3" t="s">
        <v>16</v>
      </c>
      <c r="BK12" s="3" t="s">
        <v>17</v>
      </c>
      <c r="BL12" s="3" t="s">
        <v>57</v>
      </c>
      <c r="BM12" s="3" t="s">
        <v>19</v>
      </c>
      <c r="BN12" s="3" t="s">
        <v>20</v>
      </c>
      <c r="BO12" s="3" t="s">
        <v>21</v>
      </c>
      <c r="BP12" s="8" t="s">
        <v>22</v>
      </c>
    </row>
    <row r="13" spans="2:68">
      <c r="B13" s="4" t="s">
        <v>11</v>
      </c>
      <c r="C13" s="4">
        <v>630</v>
      </c>
      <c r="D13" s="5">
        <v>10359</v>
      </c>
      <c r="E13" s="4">
        <v>0.86</v>
      </c>
      <c r="F13" s="4">
        <v>0.872</v>
      </c>
      <c r="G13" s="4">
        <v>0.91400000000000003</v>
      </c>
      <c r="H13" s="4">
        <v>0.72499999999999998</v>
      </c>
      <c r="I13" s="6">
        <f>(2*E13*F13)/(E13+F13)</f>
        <v>0.86595842956120095</v>
      </c>
      <c r="K13" s="4">
        <v>50</v>
      </c>
      <c r="L13" s="4">
        <v>16</v>
      </c>
      <c r="M13" s="4">
        <v>0.36599999999999999</v>
      </c>
      <c r="N13" s="4">
        <v>181</v>
      </c>
      <c r="O13" s="9">
        <v>2590425</v>
      </c>
      <c r="P13" s="9">
        <v>2590425</v>
      </c>
      <c r="Q13" s="10">
        <v>6.4</v>
      </c>
      <c r="S13" s="4" t="s">
        <v>11</v>
      </c>
      <c r="T13" s="4">
        <v>630</v>
      </c>
      <c r="U13" s="5">
        <v>10359</v>
      </c>
      <c r="V13" s="4">
        <v>0.85099999999999998</v>
      </c>
      <c r="W13" s="4">
        <v>0.86899999999999999</v>
      </c>
      <c r="X13" s="4">
        <v>0.91200000000000003</v>
      </c>
      <c r="Y13" s="4">
        <v>0.71799999999999997</v>
      </c>
      <c r="Z13" s="6">
        <f>(2*V13*W13)/(V13+W13)</f>
        <v>0.85990581395348831</v>
      </c>
      <c r="AB13" s="4">
        <v>50</v>
      </c>
      <c r="AC13" s="4">
        <v>16</v>
      </c>
      <c r="AD13" s="4">
        <v>0.40600000000000003</v>
      </c>
      <c r="AE13" s="4">
        <v>181</v>
      </c>
      <c r="AF13" s="9">
        <v>2590425</v>
      </c>
      <c r="AG13" s="9">
        <v>2590425</v>
      </c>
      <c r="AH13" s="10">
        <v>6.4</v>
      </c>
      <c r="AJ13" s="4" t="s">
        <v>11</v>
      </c>
      <c r="AK13" s="4">
        <v>630</v>
      </c>
      <c r="AL13" s="5">
        <v>10359</v>
      </c>
      <c r="AM13" s="4">
        <v>0.85699999999999998</v>
      </c>
      <c r="AN13" s="4">
        <v>0.86599999999999999</v>
      </c>
      <c r="AO13" s="4">
        <v>0.91600000000000004</v>
      </c>
      <c r="AP13" s="4">
        <v>0.72399999999999998</v>
      </c>
      <c r="AQ13" s="6">
        <f>(2*AM13*AN13)/(AM13+AN13)</f>
        <v>0.8614764944863611</v>
      </c>
      <c r="AS13" s="4">
        <v>50</v>
      </c>
      <c r="AT13" s="4">
        <v>16</v>
      </c>
      <c r="AU13" s="4">
        <v>0.4</v>
      </c>
      <c r="AV13" s="4">
        <v>181</v>
      </c>
      <c r="AW13" s="9">
        <v>2590425</v>
      </c>
      <c r="AX13" s="9">
        <v>2590425</v>
      </c>
      <c r="AY13" s="10">
        <v>6.4</v>
      </c>
      <c r="BA13" s="4" t="s">
        <v>11</v>
      </c>
      <c r="BB13" s="4">
        <v>630</v>
      </c>
      <c r="BC13" s="5">
        <v>10359</v>
      </c>
      <c r="BD13" s="4">
        <v>0.82599999999999996</v>
      </c>
      <c r="BE13" s="4">
        <v>0.83099999999999996</v>
      </c>
      <c r="BF13" s="4">
        <v>0.88400000000000001</v>
      </c>
      <c r="BG13" s="4">
        <v>0.68</v>
      </c>
      <c r="BH13" s="6">
        <f>(2*BD13*BE13)/(BD13+BE13)</f>
        <v>0.82849245624622803</v>
      </c>
      <c r="BJ13" s="4">
        <v>50</v>
      </c>
      <c r="BK13" s="4">
        <v>16</v>
      </c>
      <c r="BL13" s="4">
        <v>0.39</v>
      </c>
      <c r="BM13" s="4">
        <v>181</v>
      </c>
      <c r="BN13" s="9">
        <v>2590425</v>
      </c>
      <c r="BO13" s="9">
        <v>2590425</v>
      </c>
      <c r="BP13" s="10">
        <v>6.4</v>
      </c>
    </row>
    <row r="14" spans="2:68">
      <c r="B14" s="4" t="s">
        <v>12</v>
      </c>
      <c r="C14" s="4">
        <v>210</v>
      </c>
      <c r="D14" s="5">
        <v>3116</v>
      </c>
      <c r="E14" s="4">
        <v>0.83299999999999996</v>
      </c>
      <c r="F14" s="4">
        <v>0.86699999999999999</v>
      </c>
      <c r="G14" s="4">
        <v>0.91200000000000003</v>
      </c>
      <c r="H14" s="4">
        <v>0.69099999999999995</v>
      </c>
      <c r="I14" s="6">
        <f t="shared" ref="I14:I16" si="0">(2*E14*F14)/(E14+F14)</f>
        <v>0.84965999999999997</v>
      </c>
      <c r="S14" s="4" t="s">
        <v>12</v>
      </c>
      <c r="T14" s="4">
        <v>210</v>
      </c>
      <c r="U14" s="5">
        <v>3116</v>
      </c>
      <c r="V14" s="4">
        <v>0.82799999999999996</v>
      </c>
      <c r="W14" s="4">
        <v>0.86299999999999999</v>
      </c>
      <c r="X14" s="4">
        <v>0.91</v>
      </c>
      <c r="Y14" s="4">
        <v>0.68799999999999994</v>
      </c>
      <c r="Z14" s="6">
        <f t="shared" ref="Z14:Z16" si="1">(2*V14*W14)/(V14+W14)</f>
        <v>0.84513778829095221</v>
      </c>
      <c r="AJ14" s="4" t="s">
        <v>12</v>
      </c>
      <c r="AK14" s="4">
        <v>210</v>
      </c>
      <c r="AL14" s="5">
        <v>3116</v>
      </c>
      <c r="AM14" s="4">
        <v>0.82499999999999996</v>
      </c>
      <c r="AN14" s="4">
        <v>0.88200000000000001</v>
      </c>
      <c r="AO14" s="4">
        <v>0.91600000000000004</v>
      </c>
      <c r="AP14" s="4">
        <v>0.69099999999999995</v>
      </c>
      <c r="AQ14" s="6">
        <f t="shared" ref="AQ14:AQ16" si="2">(2*AM14*AN14)/(AM14+AN14)</f>
        <v>0.85254833040421807</v>
      </c>
      <c r="BA14" s="4" t="s">
        <v>12</v>
      </c>
      <c r="BB14" s="4">
        <v>210</v>
      </c>
      <c r="BC14" s="5">
        <v>3116</v>
      </c>
      <c r="BD14" s="4">
        <v>0.73599999999999999</v>
      </c>
      <c r="BE14" s="4">
        <v>0.80900000000000005</v>
      </c>
      <c r="BF14" s="4">
        <v>0.83499999999999996</v>
      </c>
      <c r="BG14" s="4">
        <v>0.61099999999999999</v>
      </c>
      <c r="BH14" s="6">
        <f t="shared" ref="BH14:BH16" si="3">(2*BD14*BE14)/(BD14+BE14)</f>
        <v>0.77077540453074445</v>
      </c>
    </row>
    <row r="15" spans="2:68" ht="42">
      <c r="B15" s="4" t="s">
        <v>13</v>
      </c>
      <c r="C15" s="4">
        <v>210</v>
      </c>
      <c r="D15" s="5">
        <v>6435</v>
      </c>
      <c r="E15" s="4">
        <v>0.95299999999999996</v>
      </c>
      <c r="F15" s="4">
        <v>0.96599999999999997</v>
      </c>
      <c r="G15" s="4">
        <v>0.98899999999999999</v>
      </c>
      <c r="H15" s="4">
        <v>0.79300000000000004</v>
      </c>
      <c r="I15" s="6">
        <f t="shared" si="0"/>
        <v>0.95945596664929644</v>
      </c>
      <c r="K15" s="3" t="s">
        <v>23</v>
      </c>
      <c r="L15" s="11" t="s">
        <v>24</v>
      </c>
      <c r="M15" s="3" t="s">
        <v>25</v>
      </c>
      <c r="N15" s="11" t="s">
        <v>26</v>
      </c>
      <c r="O15" s="3" t="s">
        <v>27</v>
      </c>
      <c r="S15" s="4" t="s">
        <v>13</v>
      </c>
      <c r="T15" s="4">
        <v>210</v>
      </c>
      <c r="U15" s="5">
        <v>6435</v>
      </c>
      <c r="V15" s="4">
        <v>0.95</v>
      </c>
      <c r="W15" s="4">
        <v>0.96499999999999997</v>
      </c>
      <c r="X15" s="4">
        <v>0.98799999999999999</v>
      </c>
      <c r="Y15" s="4">
        <v>0.78800000000000003</v>
      </c>
      <c r="Z15" s="6">
        <f t="shared" si="1"/>
        <v>0.95744125326370755</v>
      </c>
      <c r="AB15" s="3" t="s">
        <v>23</v>
      </c>
      <c r="AC15" s="11" t="s">
        <v>24</v>
      </c>
      <c r="AD15" s="3" t="s">
        <v>25</v>
      </c>
      <c r="AE15" s="11" t="s">
        <v>26</v>
      </c>
      <c r="AF15" s="3" t="s">
        <v>27</v>
      </c>
      <c r="AJ15" s="4" t="s">
        <v>13</v>
      </c>
      <c r="AK15" s="4">
        <v>210</v>
      </c>
      <c r="AL15" s="5">
        <v>6435</v>
      </c>
      <c r="AM15" s="4">
        <v>0.95499999999999996</v>
      </c>
      <c r="AN15" s="4">
        <v>0.95699999999999996</v>
      </c>
      <c r="AO15" s="4">
        <v>0.98799999999999999</v>
      </c>
      <c r="AP15" s="4">
        <v>0.78800000000000003</v>
      </c>
      <c r="AQ15" s="6">
        <f t="shared" si="2"/>
        <v>0.95599895397489543</v>
      </c>
      <c r="AS15" s="3" t="s">
        <v>23</v>
      </c>
      <c r="AT15" s="11" t="s">
        <v>24</v>
      </c>
      <c r="AU15" s="3" t="s">
        <v>25</v>
      </c>
      <c r="AV15" s="11" t="s">
        <v>26</v>
      </c>
      <c r="AW15" s="3" t="s">
        <v>27</v>
      </c>
      <c r="BA15" s="4" t="s">
        <v>13</v>
      </c>
      <c r="BB15" s="4">
        <v>210</v>
      </c>
      <c r="BC15" s="5">
        <v>6435</v>
      </c>
      <c r="BD15" s="4">
        <v>0.94299999999999995</v>
      </c>
      <c r="BE15" s="4">
        <v>0.96299999999999997</v>
      </c>
      <c r="BF15" s="4">
        <v>0.98399999999999999</v>
      </c>
      <c r="BG15" s="4">
        <v>0.76100000000000001</v>
      </c>
      <c r="BH15" s="6">
        <f t="shared" si="3"/>
        <v>0.95289506820566627</v>
      </c>
      <c r="BJ15" s="3" t="s">
        <v>23</v>
      </c>
      <c r="BK15" s="11" t="s">
        <v>24</v>
      </c>
      <c r="BL15" s="3" t="s">
        <v>25</v>
      </c>
      <c r="BM15" s="11" t="s">
        <v>26</v>
      </c>
      <c r="BN15" s="3" t="s">
        <v>27</v>
      </c>
    </row>
    <row r="16" spans="2:68">
      <c r="B16" s="4" t="s">
        <v>14</v>
      </c>
      <c r="C16" s="4">
        <v>210</v>
      </c>
      <c r="D16" s="5">
        <v>808</v>
      </c>
      <c r="E16" s="4">
        <v>0.79500000000000004</v>
      </c>
      <c r="F16" s="4">
        <v>0.78200000000000003</v>
      </c>
      <c r="G16" s="4">
        <v>0.84099999999999997</v>
      </c>
      <c r="H16" s="4">
        <v>0.69</v>
      </c>
      <c r="I16" s="6">
        <f t="shared" si="0"/>
        <v>0.78844641724793929</v>
      </c>
      <c r="K16" s="4">
        <v>0.1</v>
      </c>
      <c r="L16" s="4">
        <v>1.6</v>
      </c>
      <c r="M16" s="4">
        <v>1.2</v>
      </c>
      <c r="N16" s="4">
        <f>SUM(K16:M16)</f>
        <v>2.9000000000000004</v>
      </c>
      <c r="O16" s="4" t="s">
        <v>31</v>
      </c>
      <c r="S16" s="4" t="s">
        <v>14</v>
      </c>
      <c r="T16" s="4">
        <v>210</v>
      </c>
      <c r="U16" s="5">
        <v>808</v>
      </c>
      <c r="V16" s="4">
        <v>0.77700000000000002</v>
      </c>
      <c r="W16" s="4">
        <v>0.77900000000000003</v>
      </c>
      <c r="X16" s="4">
        <v>0.83899999999999997</v>
      </c>
      <c r="Y16" s="4">
        <v>0.67900000000000005</v>
      </c>
      <c r="Z16" s="6">
        <f t="shared" si="1"/>
        <v>0.77799871465295634</v>
      </c>
      <c r="AB16" s="4">
        <v>0.2</v>
      </c>
      <c r="AC16" s="4">
        <v>2.7</v>
      </c>
      <c r="AD16" s="4">
        <v>1.9</v>
      </c>
      <c r="AE16" s="4">
        <f>SUM(AB16:AD16)</f>
        <v>4.8000000000000007</v>
      </c>
      <c r="AF16" s="4" t="s">
        <v>31</v>
      </c>
      <c r="AJ16" s="4" t="s">
        <v>14</v>
      </c>
      <c r="AK16" s="4">
        <v>210</v>
      </c>
      <c r="AL16" s="5">
        <v>808</v>
      </c>
      <c r="AM16" s="4">
        <v>0.79200000000000004</v>
      </c>
      <c r="AN16" s="4">
        <v>0.75900000000000001</v>
      </c>
      <c r="AO16" s="4">
        <v>0.84399999999999997</v>
      </c>
      <c r="AP16" s="4">
        <v>0.69399999999999995</v>
      </c>
      <c r="AQ16" s="6">
        <f t="shared" si="2"/>
        <v>0.77514893617021263</v>
      </c>
      <c r="AS16" s="4">
        <v>0.1</v>
      </c>
      <c r="AT16" s="4">
        <v>1.9</v>
      </c>
      <c r="AU16" s="4">
        <v>1</v>
      </c>
      <c r="AV16" s="4">
        <f>SUM(AS16:AU16)</f>
        <v>3</v>
      </c>
      <c r="AW16" s="4" t="s">
        <v>31</v>
      </c>
      <c r="BA16" s="4" t="s">
        <v>14</v>
      </c>
      <c r="BB16" s="4">
        <v>210</v>
      </c>
      <c r="BC16" s="5">
        <v>808</v>
      </c>
      <c r="BD16" s="4">
        <v>0.8</v>
      </c>
      <c r="BE16" s="4">
        <v>0.72099999999999997</v>
      </c>
      <c r="BF16" s="4">
        <v>0.83299999999999996</v>
      </c>
      <c r="BG16" s="4">
        <v>0.66800000000000004</v>
      </c>
      <c r="BH16" s="6">
        <f t="shared" si="3"/>
        <v>0.75844838921762003</v>
      </c>
      <c r="BJ16" s="4">
        <v>0.1</v>
      </c>
      <c r="BK16" s="4">
        <v>1.6</v>
      </c>
      <c r="BL16" s="4">
        <v>2.2999999999999998</v>
      </c>
      <c r="BM16" s="4">
        <f>SUM(BJ16:BL16)</f>
        <v>4</v>
      </c>
      <c r="BN16" s="4" t="s">
        <v>31</v>
      </c>
    </row>
    <row r="19" spans="2:68">
      <c r="B19" t="s">
        <v>1</v>
      </c>
      <c r="C19" s="2" t="s">
        <v>30</v>
      </c>
      <c r="K19" s="7" t="s">
        <v>15</v>
      </c>
      <c r="L19" t="s">
        <v>61</v>
      </c>
      <c r="S19" t="s">
        <v>1</v>
      </c>
      <c r="T19" s="2" t="s">
        <v>30</v>
      </c>
      <c r="AB19" s="7" t="s">
        <v>15</v>
      </c>
      <c r="AD19" t="s">
        <v>61</v>
      </c>
      <c r="AJ19" t="s">
        <v>1</v>
      </c>
      <c r="AK19" s="2" t="s">
        <v>30</v>
      </c>
      <c r="AS19" s="7" t="s">
        <v>15</v>
      </c>
      <c r="AU19" t="s">
        <v>61</v>
      </c>
      <c r="BA19" t="s">
        <v>1</v>
      </c>
      <c r="BB19" s="2" t="s">
        <v>30</v>
      </c>
      <c r="BJ19" s="7" t="s">
        <v>15</v>
      </c>
      <c r="BL19" t="s">
        <v>61</v>
      </c>
    </row>
    <row r="21" spans="2:68"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  <c r="G21" s="3" t="s">
        <v>8</v>
      </c>
      <c r="H21" s="3" t="s">
        <v>9</v>
      </c>
      <c r="I21" s="3" t="s">
        <v>10</v>
      </c>
      <c r="K21" s="3" t="s">
        <v>16</v>
      </c>
      <c r="L21" s="3" t="s">
        <v>17</v>
      </c>
      <c r="M21" s="3" t="s">
        <v>57</v>
      </c>
      <c r="N21" s="3" t="s">
        <v>19</v>
      </c>
      <c r="O21" s="3" t="s">
        <v>20</v>
      </c>
      <c r="P21" s="3" t="s">
        <v>21</v>
      </c>
      <c r="Q21" s="8" t="s">
        <v>22</v>
      </c>
      <c r="S21" s="3" t="s">
        <v>3</v>
      </c>
      <c r="T21" s="3" t="s">
        <v>4</v>
      </c>
      <c r="U21" s="3" t="s">
        <v>5</v>
      </c>
      <c r="V21" s="3" t="s">
        <v>6</v>
      </c>
      <c r="W21" s="3" t="s">
        <v>7</v>
      </c>
      <c r="X21" s="3" t="s">
        <v>8</v>
      </c>
      <c r="Y21" s="3" t="s">
        <v>9</v>
      </c>
      <c r="Z21" s="3" t="s">
        <v>10</v>
      </c>
      <c r="AB21" s="3" t="s">
        <v>16</v>
      </c>
      <c r="AC21" s="3" t="s">
        <v>17</v>
      </c>
      <c r="AD21" s="3" t="s">
        <v>57</v>
      </c>
      <c r="AE21" s="3" t="s">
        <v>19</v>
      </c>
      <c r="AF21" s="3" t="s">
        <v>20</v>
      </c>
      <c r="AG21" s="3" t="s">
        <v>21</v>
      </c>
      <c r="AH21" s="8" t="s">
        <v>22</v>
      </c>
      <c r="AJ21" s="3" t="s">
        <v>3</v>
      </c>
      <c r="AK21" s="3" t="s">
        <v>4</v>
      </c>
      <c r="AL21" s="3" t="s">
        <v>5</v>
      </c>
      <c r="AM21" s="3" t="s">
        <v>6</v>
      </c>
      <c r="AN21" s="3" t="s">
        <v>7</v>
      </c>
      <c r="AO21" s="3" t="s">
        <v>8</v>
      </c>
      <c r="AP21" s="3" t="s">
        <v>9</v>
      </c>
      <c r="AQ21" s="3" t="s">
        <v>10</v>
      </c>
      <c r="AS21" s="3" t="s">
        <v>16</v>
      </c>
      <c r="AT21" s="3" t="s">
        <v>17</v>
      </c>
      <c r="AU21" s="3" t="s">
        <v>57</v>
      </c>
      <c r="AV21" s="3" t="s">
        <v>19</v>
      </c>
      <c r="AW21" s="3" t="s">
        <v>20</v>
      </c>
      <c r="AX21" s="3" t="s">
        <v>21</v>
      </c>
      <c r="AY21" s="8" t="s">
        <v>22</v>
      </c>
      <c r="BA21" s="3" t="s">
        <v>3</v>
      </c>
      <c r="BB21" s="3" t="s">
        <v>4</v>
      </c>
      <c r="BC21" s="3" t="s">
        <v>5</v>
      </c>
      <c r="BD21" s="3" t="s">
        <v>6</v>
      </c>
      <c r="BE21" s="3" t="s">
        <v>7</v>
      </c>
      <c r="BF21" s="3" t="s">
        <v>8</v>
      </c>
      <c r="BG21" s="3" t="s">
        <v>9</v>
      </c>
      <c r="BH21" s="3" t="s">
        <v>10</v>
      </c>
      <c r="BJ21" s="3" t="s">
        <v>16</v>
      </c>
      <c r="BK21" s="3" t="s">
        <v>17</v>
      </c>
      <c r="BL21" s="3" t="s">
        <v>57</v>
      </c>
      <c r="BM21" s="3" t="s">
        <v>19</v>
      </c>
      <c r="BN21" s="3" t="s">
        <v>20</v>
      </c>
      <c r="BO21" s="3" t="s">
        <v>21</v>
      </c>
      <c r="BP21" s="8" t="s">
        <v>22</v>
      </c>
    </row>
    <row r="22" spans="2:68">
      <c r="B22" s="4" t="s">
        <v>11</v>
      </c>
      <c r="C22" s="4">
        <v>630</v>
      </c>
      <c r="D22" s="5">
        <v>10359</v>
      </c>
      <c r="E22" s="4">
        <v>0.86</v>
      </c>
      <c r="F22" s="4">
        <v>0.872</v>
      </c>
      <c r="G22" s="4">
        <v>0.91700000000000004</v>
      </c>
      <c r="H22" s="4">
        <v>0.72799999999999998</v>
      </c>
      <c r="I22" s="6">
        <f>(2*E22*F22)/(E22+F22)</f>
        <v>0.86595842956120095</v>
      </c>
      <c r="K22" s="4">
        <v>50</v>
      </c>
      <c r="L22" s="4">
        <v>16</v>
      </c>
      <c r="M22" s="4">
        <v>0.38500000000000001</v>
      </c>
      <c r="N22" s="4">
        <v>181</v>
      </c>
      <c r="O22" s="9">
        <v>2590425</v>
      </c>
      <c r="P22" s="9">
        <v>2590425</v>
      </c>
      <c r="Q22" s="10">
        <v>6.4</v>
      </c>
      <c r="S22" s="4" t="s">
        <v>11</v>
      </c>
      <c r="T22" s="4">
        <v>630</v>
      </c>
      <c r="U22" s="5">
        <v>10359</v>
      </c>
      <c r="V22" s="4">
        <v>0.86499999999999999</v>
      </c>
      <c r="W22" s="4">
        <v>0.86499999999999999</v>
      </c>
      <c r="X22" s="4">
        <v>0.91600000000000004</v>
      </c>
      <c r="Y22" s="4">
        <v>0.72799999999999998</v>
      </c>
      <c r="Z22" s="6">
        <f>(2*V22*W22)/(V22+W22)</f>
        <v>0.86499999999999999</v>
      </c>
      <c r="AB22" s="4">
        <v>50</v>
      </c>
      <c r="AC22" s="4">
        <v>16</v>
      </c>
      <c r="AD22" s="4">
        <v>0.438</v>
      </c>
      <c r="AE22" s="4">
        <v>181</v>
      </c>
      <c r="AF22" s="9">
        <v>2590425</v>
      </c>
      <c r="AG22" s="9">
        <v>2590425</v>
      </c>
      <c r="AH22" s="10">
        <v>6.4</v>
      </c>
      <c r="AJ22" s="4" t="s">
        <v>11</v>
      </c>
      <c r="AK22" s="4">
        <v>630</v>
      </c>
      <c r="AL22" s="5">
        <v>10359</v>
      </c>
      <c r="AM22" s="4">
        <v>0.85</v>
      </c>
      <c r="AN22" s="4">
        <v>0.872</v>
      </c>
      <c r="AO22" s="4">
        <v>0.90900000000000003</v>
      </c>
      <c r="AP22" s="4">
        <v>0.71599999999999997</v>
      </c>
      <c r="AQ22" s="6">
        <f>(2*AM22*AN22)/(AM22+AN22)</f>
        <v>0.86085946573751448</v>
      </c>
      <c r="AS22" s="4">
        <v>50</v>
      </c>
      <c r="AT22" s="4">
        <v>16</v>
      </c>
      <c r="AU22" s="4">
        <v>0.39900000000000002</v>
      </c>
      <c r="AV22" s="4">
        <v>181</v>
      </c>
      <c r="AW22" s="9">
        <v>2590425</v>
      </c>
      <c r="AX22" s="9">
        <v>2590425</v>
      </c>
      <c r="AY22" s="10">
        <v>6.4</v>
      </c>
      <c r="BA22" s="4" t="s">
        <v>11</v>
      </c>
      <c r="BB22" s="4">
        <v>630</v>
      </c>
      <c r="BC22" s="5">
        <v>10359</v>
      </c>
      <c r="BD22" s="4">
        <v>0.82899999999999996</v>
      </c>
      <c r="BE22" s="4">
        <v>0.83499999999999996</v>
      </c>
      <c r="BF22" s="4">
        <v>0.88600000000000001</v>
      </c>
      <c r="BG22" s="4">
        <v>0.67900000000000005</v>
      </c>
      <c r="BH22" s="6">
        <f>(2*BD22*BE22)/(BD22+BE22)</f>
        <v>0.83198918269230759</v>
      </c>
      <c r="BJ22" s="4">
        <v>50</v>
      </c>
      <c r="BK22" s="4">
        <v>16</v>
      </c>
      <c r="BL22" s="4">
        <v>0.39300000000000002</v>
      </c>
      <c r="BM22" s="4">
        <v>181</v>
      </c>
      <c r="BN22" s="9">
        <v>2590425</v>
      </c>
      <c r="BO22" s="9">
        <v>2590425</v>
      </c>
      <c r="BP22" s="10">
        <v>6.4</v>
      </c>
    </row>
    <row r="23" spans="2:68">
      <c r="B23" s="4" t="s">
        <v>12</v>
      </c>
      <c r="C23" s="4">
        <v>210</v>
      </c>
      <c r="D23" s="5">
        <v>3116</v>
      </c>
      <c r="E23" s="4">
        <v>0.83799999999999997</v>
      </c>
      <c r="F23" s="4">
        <v>0.86199999999999999</v>
      </c>
      <c r="G23" s="4">
        <v>0.91700000000000004</v>
      </c>
      <c r="H23" s="4">
        <v>0.69199999999999995</v>
      </c>
      <c r="I23" s="6">
        <f t="shared" ref="I23:I25" si="4">(2*E23*F23)/(E23+F23)</f>
        <v>0.84983058823529412</v>
      </c>
      <c r="S23" s="4" t="s">
        <v>12</v>
      </c>
      <c r="T23" s="4">
        <v>210</v>
      </c>
      <c r="U23" s="5">
        <v>3116</v>
      </c>
      <c r="V23" s="4">
        <v>0.84599999999999997</v>
      </c>
      <c r="W23" s="4">
        <v>0.85199999999999998</v>
      </c>
      <c r="X23" s="4">
        <v>0.91100000000000003</v>
      </c>
      <c r="Y23" s="4">
        <v>0.69199999999999995</v>
      </c>
      <c r="Z23" s="6">
        <f t="shared" ref="Z23:Z25" si="5">(2*V23*W23)/(V23+W23)</f>
        <v>0.84898939929328621</v>
      </c>
      <c r="AJ23" s="4" t="s">
        <v>12</v>
      </c>
      <c r="AK23" s="4">
        <v>210</v>
      </c>
      <c r="AL23" s="5">
        <v>3116</v>
      </c>
      <c r="AM23" s="4">
        <v>0.82199999999999995</v>
      </c>
      <c r="AN23" s="4">
        <v>0.88500000000000001</v>
      </c>
      <c r="AO23" s="4">
        <v>0.91300000000000003</v>
      </c>
      <c r="AP23" s="4">
        <v>0.68899999999999995</v>
      </c>
      <c r="AQ23" s="6">
        <f t="shared" ref="AQ23:AQ25" si="6">(2*AM23*AN23)/(AM23+AN23)</f>
        <v>0.85233743409490337</v>
      </c>
      <c r="BA23" s="4" t="s">
        <v>12</v>
      </c>
      <c r="BB23" s="4">
        <v>210</v>
      </c>
      <c r="BC23" s="5">
        <v>3116</v>
      </c>
      <c r="BD23" s="4">
        <v>0.72499999999999998</v>
      </c>
      <c r="BE23" s="4">
        <v>0.82699999999999996</v>
      </c>
      <c r="BF23" s="4">
        <v>0.83799999999999997</v>
      </c>
      <c r="BG23" s="4">
        <v>0.61799999999999999</v>
      </c>
      <c r="BH23" s="6">
        <f t="shared" ref="BH23:BH25" si="7">(2*BD23*BE23)/(BD23+BE23)</f>
        <v>0.77264819587628863</v>
      </c>
    </row>
    <row r="24" spans="2:68" ht="42">
      <c r="B24" s="4" t="s">
        <v>13</v>
      </c>
      <c r="C24" s="4">
        <v>210</v>
      </c>
      <c r="D24" s="5">
        <v>6435</v>
      </c>
      <c r="E24" s="4">
        <v>0.95399999999999996</v>
      </c>
      <c r="F24" s="4">
        <v>0.96699999999999997</v>
      </c>
      <c r="G24" s="4">
        <v>0.98899999999999999</v>
      </c>
      <c r="H24" s="4">
        <v>0.79400000000000004</v>
      </c>
      <c r="I24" s="6">
        <f t="shared" si="4"/>
        <v>0.96045601249349299</v>
      </c>
      <c r="K24" s="3" t="s">
        <v>23</v>
      </c>
      <c r="L24" s="11" t="s">
        <v>24</v>
      </c>
      <c r="M24" s="3" t="s">
        <v>25</v>
      </c>
      <c r="N24" s="11" t="s">
        <v>26</v>
      </c>
      <c r="O24" s="3" t="s">
        <v>27</v>
      </c>
      <c r="S24" s="4" t="s">
        <v>13</v>
      </c>
      <c r="T24" s="4">
        <v>210</v>
      </c>
      <c r="U24" s="5">
        <v>6435</v>
      </c>
      <c r="V24" s="4">
        <v>0.95499999999999996</v>
      </c>
      <c r="W24" s="4">
        <v>0.96599999999999997</v>
      </c>
      <c r="X24" s="4">
        <v>0.98899999999999999</v>
      </c>
      <c r="Y24" s="4">
        <v>0.79400000000000004</v>
      </c>
      <c r="Z24" s="6">
        <f t="shared" si="5"/>
        <v>0.96046850598646538</v>
      </c>
      <c r="AB24" s="3" t="s">
        <v>23</v>
      </c>
      <c r="AC24" s="11" t="s">
        <v>24</v>
      </c>
      <c r="AD24" s="3" t="s">
        <v>25</v>
      </c>
      <c r="AE24" s="11" t="s">
        <v>26</v>
      </c>
      <c r="AF24" s="3" t="s">
        <v>27</v>
      </c>
      <c r="AJ24" s="4" t="s">
        <v>13</v>
      </c>
      <c r="AK24" s="4">
        <v>210</v>
      </c>
      <c r="AL24" s="5">
        <v>6435</v>
      </c>
      <c r="AM24" s="4">
        <v>0.95499999999999996</v>
      </c>
      <c r="AN24" s="4">
        <v>0.96099999999999997</v>
      </c>
      <c r="AO24" s="4">
        <v>0.98799999999999999</v>
      </c>
      <c r="AP24" s="4">
        <v>0.78900000000000003</v>
      </c>
      <c r="AQ24" s="6">
        <f t="shared" si="6"/>
        <v>0.95799060542797487</v>
      </c>
      <c r="AS24" s="3" t="s">
        <v>23</v>
      </c>
      <c r="AT24" s="11" t="s">
        <v>24</v>
      </c>
      <c r="AU24" s="3" t="s">
        <v>25</v>
      </c>
      <c r="AV24" s="11" t="s">
        <v>26</v>
      </c>
      <c r="AW24" s="3" t="s">
        <v>27</v>
      </c>
      <c r="BA24" s="4" t="s">
        <v>13</v>
      </c>
      <c r="BB24" s="4">
        <v>210</v>
      </c>
      <c r="BC24" s="5">
        <v>6435</v>
      </c>
      <c r="BD24" s="4">
        <v>0.94399999999999995</v>
      </c>
      <c r="BE24" s="4">
        <v>0.96199999999999997</v>
      </c>
      <c r="BF24" s="4">
        <v>0.98299999999999998</v>
      </c>
      <c r="BG24" s="4">
        <v>0.74399999999999999</v>
      </c>
      <c r="BH24" s="6">
        <f t="shared" si="7"/>
        <v>0.95291500524658967</v>
      </c>
      <c r="BJ24" s="3" t="s">
        <v>23</v>
      </c>
      <c r="BK24" s="11" t="s">
        <v>24</v>
      </c>
      <c r="BL24" s="3" t="s">
        <v>25</v>
      </c>
      <c r="BM24" s="11" t="s">
        <v>26</v>
      </c>
      <c r="BN24" s="3" t="s">
        <v>27</v>
      </c>
    </row>
    <row r="25" spans="2:68">
      <c r="B25" s="4" t="s">
        <v>14</v>
      </c>
      <c r="C25" s="4">
        <v>210</v>
      </c>
      <c r="D25" s="5">
        <v>808</v>
      </c>
      <c r="E25" s="4">
        <v>0.78900000000000003</v>
      </c>
      <c r="F25" s="4">
        <v>0.78800000000000003</v>
      </c>
      <c r="G25" s="4">
        <v>0.84399999999999997</v>
      </c>
      <c r="H25" s="4">
        <v>0.69699999999999995</v>
      </c>
      <c r="I25" s="6">
        <f t="shared" si="4"/>
        <v>0.78849968294229555</v>
      </c>
      <c r="K25" s="4">
        <v>0.2</v>
      </c>
      <c r="L25" s="4">
        <v>2.1</v>
      </c>
      <c r="M25" s="4">
        <v>1.1000000000000001</v>
      </c>
      <c r="N25" s="4">
        <f>SUM(K25:M25)</f>
        <v>3.4000000000000004</v>
      </c>
      <c r="O25" s="4" t="s">
        <v>31</v>
      </c>
      <c r="S25" s="4" t="s">
        <v>14</v>
      </c>
      <c r="T25" s="4">
        <v>210</v>
      </c>
      <c r="U25" s="5">
        <v>808</v>
      </c>
      <c r="V25" s="4">
        <v>0.79200000000000004</v>
      </c>
      <c r="W25" s="4">
        <v>0.77700000000000002</v>
      </c>
      <c r="X25" s="4">
        <v>0.84799999999999998</v>
      </c>
      <c r="Y25" s="4">
        <v>0.69699999999999995</v>
      </c>
      <c r="Z25" s="6">
        <f t="shared" si="5"/>
        <v>0.78442829827915883</v>
      </c>
      <c r="AB25" s="4">
        <v>0.1</v>
      </c>
      <c r="AC25" s="4">
        <v>1.5</v>
      </c>
      <c r="AD25" s="4">
        <v>2.2000000000000002</v>
      </c>
      <c r="AE25" s="4">
        <f>SUM(AB25:AD25)</f>
        <v>3.8000000000000003</v>
      </c>
      <c r="AF25" s="4" t="s">
        <v>31</v>
      </c>
      <c r="AJ25" s="4" t="s">
        <v>14</v>
      </c>
      <c r="AK25" s="4">
        <v>210</v>
      </c>
      <c r="AL25" s="5">
        <v>808</v>
      </c>
      <c r="AM25" s="4">
        <v>0.77300000000000002</v>
      </c>
      <c r="AN25" s="4">
        <v>0.77100000000000002</v>
      </c>
      <c r="AO25" s="4">
        <v>0.82499999999999996</v>
      </c>
      <c r="AP25" s="4">
        <v>0.67100000000000004</v>
      </c>
      <c r="AQ25" s="6">
        <f t="shared" si="6"/>
        <v>0.77199870466321252</v>
      </c>
      <c r="AS25" s="4">
        <v>0.1</v>
      </c>
      <c r="AT25" s="4">
        <v>1.9</v>
      </c>
      <c r="AU25" s="4">
        <v>2</v>
      </c>
      <c r="AV25" s="4">
        <f>SUM(AS25:AU25)</f>
        <v>4</v>
      </c>
      <c r="AW25" s="4" t="s">
        <v>31</v>
      </c>
      <c r="BA25" s="4" t="s">
        <v>14</v>
      </c>
      <c r="BB25" s="4">
        <v>210</v>
      </c>
      <c r="BC25" s="5">
        <v>808</v>
      </c>
      <c r="BD25" s="4">
        <v>0.81699999999999995</v>
      </c>
      <c r="BE25" s="4">
        <v>0.71599999999999997</v>
      </c>
      <c r="BF25" s="4">
        <v>0.83799999999999997</v>
      </c>
      <c r="BG25" s="4">
        <v>0.67600000000000005</v>
      </c>
      <c r="BH25" s="6">
        <f t="shared" si="7"/>
        <v>0.76317286366601433</v>
      </c>
      <c r="BJ25" s="4">
        <v>0.1</v>
      </c>
      <c r="BK25" s="4">
        <v>2</v>
      </c>
      <c r="BL25" s="4">
        <v>1.3</v>
      </c>
      <c r="BM25" s="4">
        <f>SUM(BJ25:BL25)</f>
        <v>3.4000000000000004</v>
      </c>
      <c r="BN25" s="4" t="s">
        <v>31</v>
      </c>
    </row>
    <row r="28" spans="2:68">
      <c r="B28" t="s">
        <v>1</v>
      </c>
      <c r="C28" s="2" t="s">
        <v>30</v>
      </c>
      <c r="K28" s="7" t="s">
        <v>15</v>
      </c>
      <c r="L28" t="s">
        <v>61</v>
      </c>
      <c r="S28" t="s">
        <v>1</v>
      </c>
      <c r="T28" s="2" t="s">
        <v>30</v>
      </c>
      <c r="AB28" s="7" t="s">
        <v>15</v>
      </c>
      <c r="AD28" t="s">
        <v>61</v>
      </c>
      <c r="AJ28" t="s">
        <v>1</v>
      </c>
      <c r="AK28" s="2" t="s">
        <v>30</v>
      </c>
      <c r="AS28" s="7" t="s">
        <v>15</v>
      </c>
      <c r="AU28" t="s">
        <v>61</v>
      </c>
      <c r="BA28" t="s">
        <v>1</v>
      </c>
      <c r="BB28" s="2" t="s">
        <v>30</v>
      </c>
      <c r="BJ28" s="7" t="s">
        <v>15</v>
      </c>
      <c r="BL28" t="s">
        <v>61</v>
      </c>
    </row>
    <row r="30" spans="2:68">
      <c r="B30" s="3" t="s">
        <v>3</v>
      </c>
      <c r="C30" s="3" t="s">
        <v>4</v>
      </c>
      <c r="D30" s="3" t="s">
        <v>5</v>
      </c>
      <c r="E30" s="3" t="s">
        <v>6</v>
      </c>
      <c r="F30" s="3" t="s">
        <v>7</v>
      </c>
      <c r="G30" s="3" t="s">
        <v>8</v>
      </c>
      <c r="H30" s="3" t="s">
        <v>9</v>
      </c>
      <c r="I30" s="3" t="s">
        <v>10</v>
      </c>
      <c r="K30" s="3" t="s">
        <v>16</v>
      </c>
      <c r="L30" s="3" t="s">
        <v>17</v>
      </c>
      <c r="M30" s="3" t="s">
        <v>57</v>
      </c>
      <c r="N30" s="3" t="s">
        <v>19</v>
      </c>
      <c r="O30" s="3" t="s">
        <v>20</v>
      </c>
      <c r="P30" s="3" t="s">
        <v>21</v>
      </c>
      <c r="Q30" s="8" t="s">
        <v>22</v>
      </c>
      <c r="S30" s="3" t="s">
        <v>3</v>
      </c>
      <c r="T30" s="3" t="s">
        <v>4</v>
      </c>
      <c r="U30" s="3" t="s">
        <v>5</v>
      </c>
      <c r="V30" s="3" t="s">
        <v>6</v>
      </c>
      <c r="W30" s="3" t="s">
        <v>7</v>
      </c>
      <c r="X30" s="3" t="s">
        <v>8</v>
      </c>
      <c r="Y30" s="3" t="s">
        <v>9</v>
      </c>
      <c r="Z30" s="3" t="s">
        <v>10</v>
      </c>
      <c r="AB30" s="3" t="s">
        <v>16</v>
      </c>
      <c r="AC30" s="3" t="s">
        <v>17</v>
      </c>
      <c r="AD30" s="3" t="s">
        <v>57</v>
      </c>
      <c r="AE30" s="3" t="s">
        <v>19</v>
      </c>
      <c r="AF30" s="3" t="s">
        <v>20</v>
      </c>
      <c r="AG30" s="3" t="s">
        <v>21</v>
      </c>
      <c r="AH30" s="8" t="s">
        <v>22</v>
      </c>
      <c r="AJ30" s="3" t="s">
        <v>3</v>
      </c>
      <c r="AK30" s="3" t="s">
        <v>4</v>
      </c>
      <c r="AL30" s="3" t="s">
        <v>5</v>
      </c>
      <c r="AM30" s="3" t="s">
        <v>6</v>
      </c>
      <c r="AN30" s="3" t="s">
        <v>7</v>
      </c>
      <c r="AO30" s="3" t="s">
        <v>8</v>
      </c>
      <c r="AP30" s="3" t="s">
        <v>9</v>
      </c>
      <c r="AQ30" s="3" t="s">
        <v>10</v>
      </c>
      <c r="AS30" s="3" t="s">
        <v>16</v>
      </c>
      <c r="AT30" s="3" t="s">
        <v>17</v>
      </c>
      <c r="AU30" s="3" t="s">
        <v>57</v>
      </c>
      <c r="AV30" s="3" t="s">
        <v>19</v>
      </c>
      <c r="AW30" s="3" t="s">
        <v>20</v>
      </c>
      <c r="AX30" s="3" t="s">
        <v>21</v>
      </c>
      <c r="AY30" s="8" t="s">
        <v>22</v>
      </c>
      <c r="BA30" s="3" t="s">
        <v>3</v>
      </c>
      <c r="BB30" s="3" t="s">
        <v>4</v>
      </c>
      <c r="BC30" s="3" t="s">
        <v>5</v>
      </c>
      <c r="BD30" s="3" t="s">
        <v>6</v>
      </c>
      <c r="BE30" s="3" t="s">
        <v>7</v>
      </c>
      <c r="BF30" s="3" t="s">
        <v>8</v>
      </c>
      <c r="BG30" s="3" t="s">
        <v>9</v>
      </c>
      <c r="BH30" s="3" t="s">
        <v>10</v>
      </c>
      <c r="BJ30" s="3" t="s">
        <v>16</v>
      </c>
      <c r="BK30" s="3" t="s">
        <v>17</v>
      </c>
      <c r="BL30" s="3" t="s">
        <v>57</v>
      </c>
      <c r="BM30" s="3" t="s">
        <v>19</v>
      </c>
      <c r="BN30" s="3" t="s">
        <v>20</v>
      </c>
      <c r="BO30" s="3" t="s">
        <v>21</v>
      </c>
      <c r="BP30" s="8" t="s">
        <v>22</v>
      </c>
    </row>
    <row r="31" spans="2:68">
      <c r="B31" s="4" t="s">
        <v>11</v>
      </c>
      <c r="C31" s="4">
        <v>630</v>
      </c>
      <c r="D31" s="5">
        <v>10359</v>
      </c>
      <c r="E31" s="4">
        <v>0.86</v>
      </c>
      <c r="F31" s="4">
        <v>0.86899999999999999</v>
      </c>
      <c r="G31" s="4">
        <v>0.91800000000000004</v>
      </c>
      <c r="H31" s="4">
        <v>0.72699999999999998</v>
      </c>
      <c r="I31" s="6">
        <f>(2*E31*F31)/(E31+F31)</f>
        <v>0.86447657605552342</v>
      </c>
      <c r="K31" s="4">
        <v>50</v>
      </c>
      <c r="L31" s="4">
        <v>16</v>
      </c>
      <c r="M31" s="4">
        <v>0.36199999999999999</v>
      </c>
      <c r="N31" s="4">
        <v>181</v>
      </c>
      <c r="O31" s="9">
        <v>2590425</v>
      </c>
      <c r="P31" s="9">
        <v>2590425</v>
      </c>
      <c r="Q31" s="10">
        <v>6.4</v>
      </c>
      <c r="S31" s="4" t="s">
        <v>11</v>
      </c>
      <c r="T31" s="4">
        <v>630</v>
      </c>
      <c r="U31" s="5">
        <v>10359</v>
      </c>
      <c r="V31" s="4">
        <v>0.85899999999999999</v>
      </c>
      <c r="W31" s="4">
        <v>0.86899999999999999</v>
      </c>
      <c r="X31" s="4">
        <v>0.91700000000000004</v>
      </c>
      <c r="Y31" s="4">
        <v>0.72299999999999998</v>
      </c>
      <c r="Z31" s="6">
        <f>(2*V31*W31)/(V31+W31)</f>
        <v>0.86397106481481478</v>
      </c>
      <c r="AB31" s="4">
        <v>50</v>
      </c>
      <c r="AC31" s="4">
        <v>16</v>
      </c>
      <c r="AD31" s="4">
        <v>0.41699999999999998</v>
      </c>
      <c r="AE31" s="4">
        <v>181</v>
      </c>
      <c r="AF31" s="9">
        <v>2590425</v>
      </c>
      <c r="AG31" s="9">
        <v>2590425</v>
      </c>
      <c r="AH31" s="10">
        <v>6.4</v>
      </c>
      <c r="AJ31" s="4" t="s">
        <v>11</v>
      </c>
      <c r="AK31" s="4">
        <v>630</v>
      </c>
      <c r="AL31" s="5">
        <v>10359</v>
      </c>
      <c r="AM31" s="4">
        <v>0.86899999999999999</v>
      </c>
      <c r="AN31" s="4">
        <v>0.86299999999999999</v>
      </c>
      <c r="AO31" s="4">
        <v>0.91500000000000004</v>
      </c>
      <c r="AP31" s="4">
        <v>0.72099999999999997</v>
      </c>
      <c r="AQ31" s="6">
        <f>(2*AM31*AN31)/(AM31+AN31)</f>
        <v>0.86598960739030029</v>
      </c>
      <c r="AS31" s="4">
        <v>50</v>
      </c>
      <c r="AT31" s="4">
        <v>16</v>
      </c>
      <c r="AU31" s="4">
        <v>0.39700000000000002</v>
      </c>
      <c r="AV31" s="4">
        <v>181</v>
      </c>
      <c r="AW31" s="9">
        <v>2590425</v>
      </c>
      <c r="AX31" s="9">
        <v>2590425</v>
      </c>
      <c r="AY31" s="10">
        <v>6.4</v>
      </c>
      <c r="BA31" s="4" t="s">
        <v>11</v>
      </c>
      <c r="BB31" s="4">
        <v>630</v>
      </c>
      <c r="BC31" s="5">
        <v>10359</v>
      </c>
      <c r="BD31" s="4">
        <v>0.83</v>
      </c>
      <c r="BE31" s="4">
        <v>0.84099999999999997</v>
      </c>
      <c r="BF31" s="4">
        <v>0.89200000000000002</v>
      </c>
      <c r="BG31" s="4">
        <v>0.68600000000000005</v>
      </c>
      <c r="BH31" s="6">
        <f>(2*BD31*BE31)/(BD31+BE31)</f>
        <v>0.83546379413524841</v>
      </c>
      <c r="BJ31" s="4">
        <v>50</v>
      </c>
      <c r="BK31" s="4">
        <v>16</v>
      </c>
      <c r="BL31" s="4">
        <v>0.39400000000000002</v>
      </c>
      <c r="BM31" s="4">
        <v>181</v>
      </c>
      <c r="BN31" s="9">
        <v>2590425</v>
      </c>
      <c r="BO31" s="9">
        <v>2590425</v>
      </c>
      <c r="BP31" s="10">
        <v>6.4</v>
      </c>
    </row>
    <row r="32" spans="2:68">
      <c r="B32" s="4" t="s">
        <v>12</v>
      </c>
      <c r="C32" s="4">
        <v>210</v>
      </c>
      <c r="D32" s="5">
        <v>3116</v>
      </c>
      <c r="E32" s="4">
        <v>0.83699999999999997</v>
      </c>
      <c r="F32" s="4">
        <v>0.86299999999999999</v>
      </c>
      <c r="G32" s="4">
        <v>0.91600000000000004</v>
      </c>
      <c r="H32" s="4">
        <v>0.69199999999999995</v>
      </c>
      <c r="I32" s="6">
        <f t="shared" ref="I32:I34" si="8">(2*E32*F32)/(E32+F32)</f>
        <v>0.84980117647058817</v>
      </c>
      <c r="S32" s="4" t="s">
        <v>12</v>
      </c>
      <c r="T32" s="4">
        <v>210</v>
      </c>
      <c r="U32" s="5">
        <v>3116</v>
      </c>
      <c r="V32" s="4">
        <v>0.83499999999999996</v>
      </c>
      <c r="W32" s="4">
        <v>0.86599999999999999</v>
      </c>
      <c r="X32" s="4">
        <v>0.91500000000000004</v>
      </c>
      <c r="Y32" s="4">
        <v>0.69299999999999995</v>
      </c>
      <c r="Z32" s="6">
        <f t="shared" ref="Z32:Z34" si="9">(2*V32*W32)/(V32+W32)</f>
        <v>0.85021751910640786</v>
      </c>
      <c r="AJ32" s="4" t="s">
        <v>12</v>
      </c>
      <c r="AK32" s="4">
        <v>210</v>
      </c>
      <c r="AL32" s="5">
        <v>3116</v>
      </c>
      <c r="AM32" s="4">
        <v>0.83199999999999996</v>
      </c>
      <c r="AN32" s="4">
        <v>0.873</v>
      </c>
      <c r="AO32" s="4">
        <v>0.91600000000000004</v>
      </c>
      <c r="AP32" s="4">
        <v>0.69299999999999995</v>
      </c>
      <c r="AQ32" s="6">
        <f t="shared" ref="AQ32:AQ34" si="10">(2*AM32*AN32)/(AM32+AN32)</f>
        <v>0.85200703812316714</v>
      </c>
      <c r="BA32" s="4" t="s">
        <v>12</v>
      </c>
      <c r="BB32" s="4">
        <v>210</v>
      </c>
      <c r="BC32" s="5">
        <v>3116</v>
      </c>
      <c r="BD32" s="4">
        <v>0.74</v>
      </c>
      <c r="BE32" s="4">
        <v>0.82699999999999996</v>
      </c>
      <c r="BF32" s="4">
        <v>0.83899999999999997</v>
      </c>
      <c r="BG32" s="4">
        <v>0.61899999999999999</v>
      </c>
      <c r="BH32" s="6">
        <f t="shared" ref="BH32:BH34" si="11">(2*BD32*BE32)/(BD32+BE32)</f>
        <v>0.78108487555839179</v>
      </c>
    </row>
    <row r="33" spans="2:68" ht="42">
      <c r="B33" s="4" t="s">
        <v>13</v>
      </c>
      <c r="C33" s="4">
        <v>210</v>
      </c>
      <c r="D33" s="5">
        <v>6435</v>
      </c>
      <c r="E33" s="4">
        <v>0.95</v>
      </c>
      <c r="F33" s="4">
        <v>0.96899999999999997</v>
      </c>
      <c r="G33" s="4">
        <v>0.98899999999999999</v>
      </c>
      <c r="H33" s="4">
        <v>0.79300000000000004</v>
      </c>
      <c r="I33" s="6">
        <f t="shared" si="8"/>
        <v>0.95940594059405937</v>
      </c>
      <c r="K33" s="3" t="s">
        <v>23</v>
      </c>
      <c r="L33" s="11" t="s">
        <v>24</v>
      </c>
      <c r="M33" s="3" t="s">
        <v>25</v>
      </c>
      <c r="N33" s="11" t="s">
        <v>26</v>
      </c>
      <c r="O33" s="3" t="s">
        <v>27</v>
      </c>
      <c r="S33" s="4" t="s">
        <v>13</v>
      </c>
      <c r="T33" s="4">
        <v>210</v>
      </c>
      <c r="U33" s="5">
        <v>6435</v>
      </c>
      <c r="V33" s="4">
        <v>0.95</v>
      </c>
      <c r="W33" s="4">
        <v>0.96699999999999997</v>
      </c>
      <c r="X33" s="4">
        <v>0.98799999999999999</v>
      </c>
      <c r="Y33" s="4">
        <v>0.78900000000000003</v>
      </c>
      <c r="Z33" s="6">
        <f t="shared" si="9"/>
        <v>0.95842462180490351</v>
      </c>
      <c r="AB33" s="3" t="s">
        <v>23</v>
      </c>
      <c r="AC33" s="11" t="s">
        <v>24</v>
      </c>
      <c r="AD33" s="3" t="s">
        <v>25</v>
      </c>
      <c r="AE33" s="11" t="s">
        <v>26</v>
      </c>
      <c r="AF33" s="3" t="s">
        <v>27</v>
      </c>
      <c r="AJ33" s="4" t="s">
        <v>13</v>
      </c>
      <c r="AK33" s="4">
        <v>210</v>
      </c>
      <c r="AL33" s="5">
        <v>6435</v>
      </c>
      <c r="AM33" s="4">
        <v>0.95899999999999996</v>
      </c>
      <c r="AN33" s="4">
        <v>0.95599999999999996</v>
      </c>
      <c r="AO33" s="4">
        <v>0.98799999999999999</v>
      </c>
      <c r="AP33" s="4">
        <v>0.78800000000000003</v>
      </c>
      <c r="AQ33" s="6">
        <f t="shared" si="10"/>
        <v>0.95749765013054822</v>
      </c>
      <c r="AS33" s="3" t="s">
        <v>23</v>
      </c>
      <c r="AT33" s="11" t="s">
        <v>24</v>
      </c>
      <c r="AU33" s="3" t="s">
        <v>25</v>
      </c>
      <c r="AV33" s="11" t="s">
        <v>26</v>
      </c>
      <c r="AW33" s="3" t="s">
        <v>27</v>
      </c>
      <c r="BA33" s="4" t="s">
        <v>13</v>
      </c>
      <c r="BB33" s="4">
        <v>210</v>
      </c>
      <c r="BC33" s="5">
        <v>6435</v>
      </c>
      <c r="BD33" s="4">
        <v>0.94299999999999995</v>
      </c>
      <c r="BE33" s="4">
        <v>0.95899999999999996</v>
      </c>
      <c r="BF33" s="4">
        <v>0.98399999999999999</v>
      </c>
      <c r="BG33" s="4">
        <v>0.73599999999999999</v>
      </c>
      <c r="BH33" s="6">
        <f t="shared" si="11"/>
        <v>0.9509327024185068</v>
      </c>
      <c r="BJ33" s="3" t="s">
        <v>23</v>
      </c>
      <c r="BK33" s="11" t="s">
        <v>24</v>
      </c>
      <c r="BL33" s="3" t="s">
        <v>25</v>
      </c>
      <c r="BM33" s="11" t="s">
        <v>26</v>
      </c>
      <c r="BN33" s="3" t="s">
        <v>27</v>
      </c>
    </row>
    <row r="34" spans="2:68">
      <c r="B34" s="4" t="s">
        <v>14</v>
      </c>
      <c r="C34" s="4">
        <v>210</v>
      </c>
      <c r="D34" s="5">
        <v>808</v>
      </c>
      <c r="E34" s="4">
        <v>0.79300000000000004</v>
      </c>
      <c r="F34" s="4">
        <v>0.77600000000000002</v>
      </c>
      <c r="G34" s="4">
        <v>0.84799999999999998</v>
      </c>
      <c r="H34" s="4">
        <v>0.69499999999999995</v>
      </c>
      <c r="I34" s="6">
        <f t="shared" si="8"/>
        <v>0.78440790312300834</v>
      </c>
      <c r="K34" s="4">
        <v>0.1</v>
      </c>
      <c r="L34" s="4">
        <v>1.6</v>
      </c>
      <c r="M34" s="4">
        <v>1.2</v>
      </c>
      <c r="N34" s="4">
        <f>SUM(K34:M34)</f>
        <v>2.9000000000000004</v>
      </c>
      <c r="O34" s="4" t="s">
        <v>31</v>
      </c>
      <c r="S34" s="4" t="s">
        <v>14</v>
      </c>
      <c r="T34" s="4">
        <v>210</v>
      </c>
      <c r="U34" s="5">
        <v>808</v>
      </c>
      <c r="V34" s="4">
        <v>0.79200000000000004</v>
      </c>
      <c r="W34" s="4">
        <v>0.77400000000000002</v>
      </c>
      <c r="X34" s="4">
        <v>0.84799999999999998</v>
      </c>
      <c r="Y34" s="4">
        <v>0.68700000000000006</v>
      </c>
      <c r="Z34" s="6">
        <f t="shared" si="9"/>
        <v>0.78289655172413786</v>
      </c>
      <c r="AB34" s="4">
        <v>0.1</v>
      </c>
      <c r="AC34" s="4">
        <v>1.5</v>
      </c>
      <c r="AD34" s="4">
        <v>2.2000000000000002</v>
      </c>
      <c r="AE34" s="4">
        <f>SUM(AB34:AD34)</f>
        <v>3.8000000000000003</v>
      </c>
      <c r="AF34" s="4" t="s">
        <v>31</v>
      </c>
      <c r="AJ34" s="4" t="s">
        <v>14</v>
      </c>
      <c r="AK34" s="4">
        <v>210</v>
      </c>
      <c r="AL34" s="5">
        <v>808</v>
      </c>
      <c r="AM34" s="4">
        <v>0.81399999999999995</v>
      </c>
      <c r="AN34" s="4">
        <v>0.76</v>
      </c>
      <c r="AO34" s="4">
        <v>0.84199999999999997</v>
      </c>
      <c r="AP34" s="4">
        <v>0.68100000000000005</v>
      </c>
      <c r="AQ34" s="6">
        <f t="shared" si="10"/>
        <v>0.78607369758576873</v>
      </c>
      <c r="AS34" s="4">
        <v>0.1</v>
      </c>
      <c r="AT34" s="4">
        <v>2.8</v>
      </c>
      <c r="AU34" s="4">
        <v>1.7</v>
      </c>
      <c r="AV34" s="4">
        <f>SUM(AS34:AU34)</f>
        <v>4.5999999999999996</v>
      </c>
      <c r="AW34" s="4" t="s">
        <v>31</v>
      </c>
      <c r="BA34" s="4" t="s">
        <v>14</v>
      </c>
      <c r="BB34" s="4">
        <v>210</v>
      </c>
      <c r="BC34" s="5">
        <v>808</v>
      </c>
      <c r="BD34" s="4">
        <v>0.80059999999999998</v>
      </c>
      <c r="BE34" s="4">
        <v>0.73599999999999999</v>
      </c>
      <c r="BF34" s="4">
        <v>0.85199999999999998</v>
      </c>
      <c r="BG34" s="4">
        <v>0.70299999999999996</v>
      </c>
      <c r="BH34" s="6">
        <f t="shared" si="11"/>
        <v>0.76694207991669916</v>
      </c>
      <c r="BJ34" s="4">
        <v>0.1</v>
      </c>
      <c r="BK34" s="4">
        <v>2.1</v>
      </c>
      <c r="BL34" s="4">
        <v>1.8</v>
      </c>
      <c r="BM34" s="4">
        <f>SUM(BJ34:BL34)</f>
        <v>4</v>
      </c>
      <c r="BN34" s="4" t="s">
        <v>31</v>
      </c>
    </row>
    <row r="39" spans="2:68">
      <c r="B39" s="3" t="s">
        <v>11</v>
      </c>
      <c r="C39" s="12" t="s">
        <v>52</v>
      </c>
      <c r="D39" s="12" t="s">
        <v>53</v>
      </c>
      <c r="K39" s="5"/>
      <c r="L39" s="12" t="s">
        <v>52</v>
      </c>
      <c r="M39" s="12" t="s">
        <v>27</v>
      </c>
      <c r="P39" s="7"/>
      <c r="Q39" s="7"/>
      <c r="S39" s="3" t="s">
        <v>11</v>
      </c>
      <c r="T39" s="12" t="s">
        <v>52</v>
      </c>
      <c r="U39" s="12" t="s">
        <v>53</v>
      </c>
      <c r="AB39" s="5"/>
      <c r="AC39" s="12" t="s">
        <v>52</v>
      </c>
      <c r="AD39" s="12" t="s">
        <v>27</v>
      </c>
      <c r="AG39" s="7"/>
      <c r="AH39" s="7"/>
      <c r="AJ39" s="3" t="s">
        <v>11</v>
      </c>
      <c r="AK39" s="12" t="s">
        <v>52</v>
      </c>
      <c r="AL39" s="12" t="s">
        <v>53</v>
      </c>
      <c r="AS39" s="5"/>
      <c r="AT39" s="12" t="s">
        <v>52</v>
      </c>
      <c r="AU39" s="12" t="s">
        <v>27</v>
      </c>
      <c r="AX39" s="7"/>
      <c r="AY39" s="7"/>
      <c r="BA39" s="3" t="s">
        <v>11</v>
      </c>
      <c r="BB39" s="12" t="s">
        <v>52</v>
      </c>
      <c r="BC39" s="12" t="s">
        <v>53</v>
      </c>
      <c r="BJ39" s="5"/>
      <c r="BK39" s="12" t="s">
        <v>52</v>
      </c>
      <c r="BL39" s="12" t="s">
        <v>27</v>
      </c>
      <c r="BO39" s="7"/>
      <c r="BP39" s="7"/>
    </row>
    <row r="40" spans="2:68" ht="28">
      <c r="B40" s="3" t="s">
        <v>6</v>
      </c>
      <c r="C40" s="6">
        <f>AVERAGE(E13,E22,E31)</f>
        <v>0.86</v>
      </c>
      <c r="D40" s="6">
        <f>STDEV(E13,E22,E31)</f>
        <v>0</v>
      </c>
      <c r="K40" s="18" t="s">
        <v>54</v>
      </c>
      <c r="L40" s="19">
        <f>AVERAGE(N16,N25,N34)</f>
        <v>3.0666666666666669</v>
      </c>
      <c r="M40" s="5" t="s">
        <v>55</v>
      </c>
      <c r="P40" s="23"/>
      <c r="S40" s="3" t="s">
        <v>6</v>
      </c>
      <c r="T40" s="6">
        <f>AVERAGE(V13,V22,V31)</f>
        <v>0.85833333333333339</v>
      </c>
      <c r="U40" s="6">
        <f>STDEV(V13,V22,V31)</f>
        <v>7.0237691685684995E-3</v>
      </c>
      <c r="AB40" s="18" t="s">
        <v>54</v>
      </c>
      <c r="AC40" s="19">
        <f>AVERAGE(AE16,AE25,AE34)</f>
        <v>4.1333333333333337</v>
      </c>
      <c r="AD40" s="5" t="s">
        <v>55</v>
      </c>
      <c r="AG40" s="23"/>
      <c r="AJ40" s="3" t="s">
        <v>6</v>
      </c>
      <c r="AK40" s="6">
        <f>AVERAGE(AM13,AM22,AM31)</f>
        <v>0.85866666666666658</v>
      </c>
      <c r="AL40" s="6">
        <f>STDEV(AM13,AM22,AM31)</f>
        <v>9.6090235369330583E-3</v>
      </c>
      <c r="AS40" s="18" t="s">
        <v>54</v>
      </c>
      <c r="AT40" s="19">
        <f>AVERAGE(AV16,AV25,AV34)</f>
        <v>3.8666666666666667</v>
      </c>
      <c r="AU40" s="5" t="s">
        <v>55</v>
      </c>
      <c r="AX40" s="23"/>
      <c r="BA40" s="3" t="s">
        <v>6</v>
      </c>
      <c r="BB40" s="6">
        <f>AVERAGE(BD13,BD22,BD31)</f>
        <v>0.82833333333333325</v>
      </c>
      <c r="BC40" s="6">
        <f>STDEV(BD13,BD22,BD31)</f>
        <v>2.0816659994661343E-3</v>
      </c>
      <c r="BJ40" s="18" t="s">
        <v>54</v>
      </c>
      <c r="BK40" s="19">
        <f>AVERAGE(BM16,BM25,BM34)</f>
        <v>3.8000000000000003</v>
      </c>
      <c r="BL40" s="5" t="s">
        <v>55</v>
      </c>
      <c r="BO40" s="23"/>
    </row>
    <row r="41" spans="2:68">
      <c r="B41" s="3" t="s">
        <v>7</v>
      </c>
      <c r="C41" s="6">
        <f>AVERAGE(F13,F22,F31)</f>
        <v>0.871</v>
      </c>
      <c r="D41" s="6">
        <f>STDEV(F13,F22,F31)</f>
        <v>1.7320508075688789E-3</v>
      </c>
      <c r="K41" s="26" t="s">
        <v>18</v>
      </c>
      <c r="L41" s="30">
        <f>AVERAGE(M13,M22,M31)</f>
        <v>0.371</v>
      </c>
      <c r="M41" s="5" t="s">
        <v>58</v>
      </c>
      <c r="S41" s="3" t="s">
        <v>7</v>
      </c>
      <c r="T41" s="6">
        <f>AVERAGE(W13,W22,W31)</f>
        <v>0.86766666666666659</v>
      </c>
      <c r="U41" s="6">
        <f>STDEV(W13,W22,W31)</f>
        <v>2.3094010767585054E-3</v>
      </c>
      <c r="AB41" s="26" t="s">
        <v>18</v>
      </c>
      <c r="AC41" s="30">
        <f>AVERAGE(AD13,AD22,AD31)</f>
        <v>0.42033333333333339</v>
      </c>
      <c r="AD41" s="5" t="s">
        <v>58</v>
      </c>
      <c r="AJ41" s="3" t="s">
        <v>7</v>
      </c>
      <c r="AK41" s="6">
        <f>AVERAGE(AN13,AN22,AN31)</f>
        <v>0.86699999999999999</v>
      </c>
      <c r="AL41" s="6">
        <f>STDEV(AN13,AN22,AN31)</f>
        <v>4.5825756949558439E-3</v>
      </c>
      <c r="AS41" s="26" t="s">
        <v>18</v>
      </c>
      <c r="AT41" s="30">
        <f>AVERAGE(AU13,AU22,AU31)</f>
        <v>0.39866666666666672</v>
      </c>
      <c r="AU41" s="5" t="s">
        <v>58</v>
      </c>
      <c r="BA41" s="3" t="s">
        <v>7</v>
      </c>
      <c r="BB41" s="6">
        <f>AVERAGE(BE13,BE22,BE31)</f>
        <v>0.83566666666666656</v>
      </c>
      <c r="BC41" s="6">
        <f>STDEV(BE13,BE22,BE31)</f>
        <v>5.0332229568471705E-3</v>
      </c>
      <c r="BJ41" s="26" t="s">
        <v>18</v>
      </c>
      <c r="BK41" s="30">
        <f>AVERAGE(BL13,BL22,BL31)</f>
        <v>0.39233333333333337</v>
      </c>
      <c r="BL41" s="5" t="s">
        <v>58</v>
      </c>
    </row>
    <row r="42" spans="2:68">
      <c r="B42" s="3" t="s">
        <v>8</v>
      </c>
      <c r="C42" s="21">
        <f>AVERAGE(G13,G22,G31)</f>
        <v>0.91633333333333333</v>
      </c>
      <c r="D42" s="6">
        <f>STDEV(G13,G22,G31)</f>
        <v>2.0816659994661343E-3</v>
      </c>
      <c r="K42" s="27"/>
      <c r="L42" s="31">
        <f>L41*60</f>
        <v>22.259999999999998</v>
      </c>
      <c r="M42" s="27" t="s">
        <v>59</v>
      </c>
      <c r="S42" s="3" t="s">
        <v>8</v>
      </c>
      <c r="T42" s="21">
        <f>AVERAGE(X13,X22,X31)</f>
        <v>0.91500000000000004</v>
      </c>
      <c r="U42" s="6">
        <f>STDEV(X13,X22,X31)</f>
        <v>2.6457513110645929E-3</v>
      </c>
      <c r="AB42" s="27"/>
      <c r="AC42" s="31">
        <f>AC41*60</f>
        <v>25.220000000000002</v>
      </c>
      <c r="AD42" s="27" t="s">
        <v>59</v>
      </c>
      <c r="AJ42" s="3" t="s">
        <v>8</v>
      </c>
      <c r="AK42" s="21">
        <f>AVERAGE(AO13,AO22,AO31)</f>
        <v>0.91333333333333344</v>
      </c>
      <c r="AL42" s="6">
        <f>STDEV(AO13,AO22,AO31)</f>
        <v>3.7859388972001857E-3</v>
      </c>
      <c r="AS42" s="27"/>
      <c r="AT42" s="31">
        <f>AT41*60</f>
        <v>23.92</v>
      </c>
      <c r="AU42" s="27" t="s">
        <v>59</v>
      </c>
      <c r="BA42" s="3" t="s">
        <v>8</v>
      </c>
      <c r="BB42" s="21">
        <f>AVERAGE(BF13,BF22,BF31)</f>
        <v>0.88733333333333331</v>
      </c>
      <c r="BC42" s="6">
        <f>STDEV(BF13,BF22,BF31)</f>
        <v>4.1633319989322695E-3</v>
      </c>
      <c r="BJ42" s="27"/>
      <c r="BK42" s="31">
        <f>BK41*60</f>
        <v>23.540000000000003</v>
      </c>
      <c r="BL42" s="27" t="s">
        <v>59</v>
      </c>
    </row>
    <row r="43" spans="2:68">
      <c r="B43" s="3" t="s">
        <v>9</v>
      </c>
      <c r="C43" s="6">
        <f>AVERAGE(H13,H22,H31)</f>
        <v>0.72666666666666657</v>
      </c>
      <c r="D43" s="6">
        <f>STDEV(H13,H22,H31)</f>
        <v>1.5275252316519481E-3</v>
      </c>
      <c r="S43" s="3" t="s">
        <v>9</v>
      </c>
      <c r="T43" s="6">
        <f>AVERAGE(Y13,Y22,Y31)</f>
        <v>0.72299999999999998</v>
      </c>
      <c r="U43" s="6">
        <f>STDEV(Y13,Y22,Y31)</f>
        <v>5.0000000000000044E-3</v>
      </c>
      <c r="AJ43" s="3" t="s">
        <v>9</v>
      </c>
      <c r="AK43" s="6">
        <f>AVERAGE(AP13,AP22,AP31)</f>
        <v>0.72033333333333338</v>
      </c>
      <c r="AL43" s="6">
        <f>STDEV(AP13,AP22,AP31)</f>
        <v>4.0414518843273836E-3</v>
      </c>
      <c r="BA43" s="3" t="s">
        <v>9</v>
      </c>
      <c r="BB43" s="6">
        <f>AVERAGE(BG13,BG22,BG31)</f>
        <v>0.68166666666666664</v>
      </c>
      <c r="BC43" s="6">
        <f>STDEV(BG13,BG22,BG31)</f>
        <v>3.7859388972001857E-3</v>
      </c>
    </row>
    <row r="44" spans="2:68">
      <c r="B44" s="3" t="s">
        <v>10</v>
      </c>
      <c r="C44" s="6">
        <f>AVERAGE(I13,I22,I31)</f>
        <v>0.86546447839264173</v>
      </c>
      <c r="D44" s="6">
        <f>STDEV(I13,I22,I31)</f>
        <v>8.555485204025143E-4</v>
      </c>
      <c r="S44" s="3" t="s">
        <v>10</v>
      </c>
      <c r="T44" s="6">
        <f>AVERAGE(Z13,Z22,Z31)</f>
        <v>0.86295895958943436</v>
      </c>
      <c r="U44" s="6">
        <f>STDEV(Z13,Z22,Z31)</f>
        <v>2.6936871773742309E-3</v>
      </c>
      <c r="AJ44" s="3" t="s">
        <v>10</v>
      </c>
      <c r="AK44" s="6">
        <f>AVERAGE(AQ13,AQ22,AQ31)</f>
        <v>0.86277518920472529</v>
      </c>
      <c r="AL44" s="6">
        <f>STDEV(AQ13,AQ22,AQ31)</f>
        <v>2.8008113687005495E-3</v>
      </c>
      <c r="BA44" s="3" t="s">
        <v>10</v>
      </c>
      <c r="BB44" s="6">
        <f>AVERAGE(BH13,BH22,BH31)</f>
        <v>0.83198181102459479</v>
      </c>
      <c r="BC44" s="6">
        <f>STDEV(BH13,BH22,BH31)</f>
        <v>3.4856747907451766E-3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C791F-AA58-41F4-ADA7-B0F4EBF20EDA}">
  <dimension ref="B1:AI74"/>
  <sheetViews>
    <sheetView zoomScale="40" zoomScaleNormal="40" workbookViewId="0">
      <selection activeCell="AG134" sqref="AG134"/>
    </sheetView>
  </sheetViews>
  <sheetFormatPr defaultRowHeight="14"/>
  <cols>
    <col min="3" max="3" width="11.33203125" customWidth="1"/>
    <col min="11" max="11" width="14.1640625" bestFit="1" customWidth="1"/>
    <col min="12" max="12" width="15.33203125" bestFit="1" customWidth="1"/>
    <col min="13" max="13" width="10.6640625" customWidth="1"/>
    <col min="14" max="14" width="9.4140625" customWidth="1"/>
    <col min="15" max="15" width="23.6640625" bestFit="1" customWidth="1"/>
    <col min="16" max="16" width="9.6640625" customWidth="1"/>
    <col min="29" max="29" width="10.4140625" customWidth="1"/>
    <col min="33" max="33" width="10" customWidth="1"/>
    <col min="34" max="34" width="10.5" customWidth="1"/>
  </cols>
  <sheetData>
    <row r="1" spans="2:35" ht="45">
      <c r="B1" s="1" t="s">
        <v>40</v>
      </c>
    </row>
    <row r="9" spans="2:35">
      <c r="B9" t="s">
        <v>36</v>
      </c>
      <c r="C9" s="17" t="s">
        <v>62</v>
      </c>
      <c r="T9" t="s">
        <v>36</v>
      </c>
      <c r="U9" s="17" t="s">
        <v>41</v>
      </c>
    </row>
    <row r="10" spans="2:35">
      <c r="B10" t="s">
        <v>1</v>
      </c>
      <c r="C10" s="2" t="s">
        <v>30</v>
      </c>
      <c r="K10" s="7" t="s">
        <v>15</v>
      </c>
      <c r="L10" t="s">
        <v>61</v>
      </c>
      <c r="T10" t="s">
        <v>32</v>
      </c>
      <c r="U10" s="2" t="s">
        <v>33</v>
      </c>
      <c r="AC10" s="7" t="s">
        <v>15</v>
      </c>
      <c r="AE10" t="s">
        <v>61</v>
      </c>
    </row>
    <row r="12" spans="2:35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K12" s="3" t="s">
        <v>16</v>
      </c>
      <c r="L12" s="3" t="s">
        <v>17</v>
      </c>
      <c r="M12" s="3" t="s">
        <v>18</v>
      </c>
      <c r="N12" s="3" t="s">
        <v>19</v>
      </c>
      <c r="O12" s="3" t="s">
        <v>20</v>
      </c>
      <c r="P12" s="3" t="s">
        <v>21</v>
      </c>
      <c r="Q12" s="8" t="s">
        <v>22</v>
      </c>
      <c r="T12" s="3" t="s">
        <v>3</v>
      </c>
      <c r="U12" s="3" t="s">
        <v>4</v>
      </c>
      <c r="V12" s="3" t="s">
        <v>5</v>
      </c>
      <c r="W12" s="3" t="s">
        <v>6</v>
      </c>
      <c r="X12" s="3" t="s">
        <v>7</v>
      </c>
      <c r="Y12" s="3" t="s">
        <v>8</v>
      </c>
      <c r="Z12" s="3" t="s">
        <v>9</v>
      </c>
      <c r="AA12" s="3" t="s">
        <v>10</v>
      </c>
      <c r="AC12" s="3" t="s">
        <v>16</v>
      </c>
      <c r="AD12" s="3" t="s">
        <v>17</v>
      </c>
      <c r="AE12" s="3" t="s">
        <v>57</v>
      </c>
      <c r="AF12" s="3" t="s">
        <v>19</v>
      </c>
      <c r="AG12" s="3" t="s">
        <v>20</v>
      </c>
      <c r="AH12" s="3" t="s">
        <v>21</v>
      </c>
      <c r="AI12" s="8" t="s">
        <v>22</v>
      </c>
    </row>
    <row r="13" spans="2:35">
      <c r="B13" s="4" t="s">
        <v>11</v>
      </c>
      <c r="C13" s="4">
        <v>630</v>
      </c>
      <c r="D13" s="5">
        <v>10359</v>
      </c>
      <c r="E13" s="4">
        <v>0.86</v>
      </c>
      <c r="F13" s="4">
        <v>0.872</v>
      </c>
      <c r="G13" s="4">
        <v>0.91400000000000003</v>
      </c>
      <c r="H13" s="4">
        <v>0.72499999999999998</v>
      </c>
      <c r="I13" s="6">
        <f>(2*E13*F13)/(E13+F13)</f>
        <v>0.86595842956120095</v>
      </c>
      <c r="K13" s="4">
        <v>50</v>
      </c>
      <c r="L13" s="4">
        <v>16</v>
      </c>
      <c r="M13" s="4">
        <v>0.36599999999999999</v>
      </c>
      <c r="N13" s="4">
        <v>181</v>
      </c>
      <c r="O13" s="9">
        <v>2590425</v>
      </c>
      <c r="P13" s="9">
        <v>2590425</v>
      </c>
      <c r="Q13" s="10">
        <v>6.4</v>
      </c>
      <c r="T13" s="4" t="s">
        <v>11</v>
      </c>
      <c r="U13" s="4">
        <v>630</v>
      </c>
      <c r="V13" s="4">
        <v>10552</v>
      </c>
      <c r="W13" s="4">
        <v>0.89200000000000002</v>
      </c>
      <c r="X13" s="4">
        <v>0.9</v>
      </c>
      <c r="Y13" s="4">
        <v>0.95199999999999996</v>
      </c>
      <c r="Z13" s="4">
        <v>0.81100000000000005</v>
      </c>
      <c r="AA13" s="6">
        <f>(2*W13*X13)/(W13+X13)</f>
        <v>0.89598214285714295</v>
      </c>
      <c r="AC13" s="4">
        <v>50</v>
      </c>
      <c r="AD13" s="4">
        <v>16</v>
      </c>
      <c r="AE13" s="4">
        <v>0.58399999999999996</v>
      </c>
      <c r="AF13" s="4">
        <v>203</v>
      </c>
      <c r="AG13" s="9">
        <v>2843193</v>
      </c>
      <c r="AH13" s="9">
        <v>2843177</v>
      </c>
      <c r="AI13" s="10">
        <v>9.6999999999999993</v>
      </c>
    </row>
    <row r="14" spans="2:35">
      <c r="B14" s="4" t="s">
        <v>12</v>
      </c>
      <c r="C14" s="4">
        <v>210</v>
      </c>
      <c r="D14" s="5">
        <v>3116</v>
      </c>
      <c r="E14" s="4">
        <v>0.83299999999999996</v>
      </c>
      <c r="F14" s="4">
        <v>0.86699999999999999</v>
      </c>
      <c r="G14" s="4">
        <v>0.91200000000000003</v>
      </c>
      <c r="H14" s="4">
        <v>0.69099999999999995</v>
      </c>
      <c r="I14" s="6">
        <f t="shared" ref="I14:I16" si="0">(2*E14*F14)/(E14+F14)</f>
        <v>0.84965999999999997</v>
      </c>
      <c r="T14" s="4" t="s">
        <v>12</v>
      </c>
      <c r="U14" s="4">
        <v>210</v>
      </c>
      <c r="V14" s="4">
        <v>3346</v>
      </c>
      <c r="W14" s="4">
        <v>0.88100000000000001</v>
      </c>
      <c r="X14" s="4">
        <v>0.85899999999999999</v>
      </c>
      <c r="Y14" s="4">
        <v>0.94099999999999995</v>
      </c>
      <c r="Z14" s="4">
        <v>0.80400000000000005</v>
      </c>
      <c r="AA14" s="6">
        <f t="shared" ref="AA14:AA16" si="1">(2*W14*X14)/(W14+X14)</f>
        <v>0.86986091954022982</v>
      </c>
    </row>
    <row r="15" spans="2:35" ht="42">
      <c r="B15" s="4" t="s">
        <v>13</v>
      </c>
      <c r="C15" s="4">
        <v>210</v>
      </c>
      <c r="D15" s="5">
        <v>6435</v>
      </c>
      <c r="E15" s="4">
        <v>0.95299999999999996</v>
      </c>
      <c r="F15" s="4">
        <v>0.96599999999999997</v>
      </c>
      <c r="G15" s="4">
        <v>0.98899999999999999</v>
      </c>
      <c r="H15" s="4">
        <v>0.79300000000000004</v>
      </c>
      <c r="I15" s="6">
        <f t="shared" si="0"/>
        <v>0.95945596664929644</v>
      </c>
      <c r="K15" s="3" t="s">
        <v>23</v>
      </c>
      <c r="L15" s="11" t="s">
        <v>24</v>
      </c>
      <c r="M15" s="3" t="s">
        <v>25</v>
      </c>
      <c r="N15" s="11" t="s">
        <v>26</v>
      </c>
      <c r="O15" s="3" t="s">
        <v>27</v>
      </c>
      <c r="T15" s="4" t="s">
        <v>13</v>
      </c>
      <c r="U15" s="4">
        <v>210</v>
      </c>
      <c r="V15" s="4">
        <v>6442</v>
      </c>
      <c r="W15" s="4">
        <v>0.96199999999999997</v>
      </c>
      <c r="X15" s="4">
        <v>0.96199999999999997</v>
      </c>
      <c r="Y15" s="4">
        <v>0.98899999999999999</v>
      </c>
      <c r="Z15" s="4">
        <v>0.79900000000000004</v>
      </c>
      <c r="AA15" s="6">
        <f t="shared" si="1"/>
        <v>0.96199999999999997</v>
      </c>
      <c r="AC15" s="3" t="s">
        <v>23</v>
      </c>
      <c r="AD15" s="11" t="s">
        <v>24</v>
      </c>
      <c r="AE15" s="3" t="s">
        <v>25</v>
      </c>
      <c r="AF15" s="11" t="s">
        <v>26</v>
      </c>
      <c r="AG15" s="3" t="s">
        <v>27</v>
      </c>
    </row>
    <row r="16" spans="2:35">
      <c r="B16" s="4" t="s">
        <v>14</v>
      </c>
      <c r="C16" s="4">
        <v>210</v>
      </c>
      <c r="D16" s="5">
        <v>808</v>
      </c>
      <c r="E16" s="4">
        <v>0.79500000000000004</v>
      </c>
      <c r="F16" s="4">
        <v>0.78200000000000003</v>
      </c>
      <c r="G16" s="4">
        <v>0.84099999999999997</v>
      </c>
      <c r="H16" s="4">
        <v>0.69</v>
      </c>
      <c r="I16" s="6">
        <f t="shared" si="0"/>
        <v>0.78844641724793929</v>
      </c>
      <c r="K16" s="4">
        <v>0.1</v>
      </c>
      <c r="L16" s="4">
        <v>1.6</v>
      </c>
      <c r="M16" s="4">
        <v>1.2</v>
      </c>
      <c r="N16" s="4">
        <f>SUM(K16:M16)</f>
        <v>2.9000000000000004</v>
      </c>
      <c r="O16" s="4" t="s">
        <v>31</v>
      </c>
      <c r="T16" s="4" t="s">
        <v>14</v>
      </c>
      <c r="U16" s="4">
        <v>210</v>
      </c>
      <c r="V16" s="4">
        <v>764</v>
      </c>
      <c r="W16" s="4">
        <v>0.83399999999999996</v>
      </c>
      <c r="X16" s="4">
        <v>0.878</v>
      </c>
      <c r="Y16" s="4">
        <v>0.92500000000000004</v>
      </c>
      <c r="Z16" s="4">
        <v>0.83199999999999996</v>
      </c>
      <c r="AA16" s="6">
        <f t="shared" si="1"/>
        <v>0.85543457943925238</v>
      </c>
      <c r="AC16" s="4">
        <v>0.1</v>
      </c>
      <c r="AD16" s="4">
        <v>2</v>
      </c>
      <c r="AE16" s="4">
        <v>1.8</v>
      </c>
      <c r="AF16" s="4">
        <f>SUM(AC16:AE16)</f>
        <v>3.9000000000000004</v>
      </c>
      <c r="AG16" s="4" t="s">
        <v>31</v>
      </c>
    </row>
    <row r="18" spans="2:35">
      <c r="T18" t="s">
        <v>36</v>
      </c>
      <c r="U18" s="24" t="s">
        <v>42</v>
      </c>
    </row>
    <row r="19" spans="2:35">
      <c r="B19" t="s">
        <v>1</v>
      </c>
      <c r="C19" s="2" t="s">
        <v>30</v>
      </c>
      <c r="K19" s="7" t="s">
        <v>15</v>
      </c>
      <c r="L19" t="s">
        <v>61</v>
      </c>
      <c r="T19" t="s">
        <v>32</v>
      </c>
      <c r="U19" s="2" t="s">
        <v>33</v>
      </c>
    </row>
    <row r="21" spans="2:35"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  <c r="G21" s="3" t="s">
        <v>8</v>
      </c>
      <c r="H21" s="3" t="s">
        <v>9</v>
      </c>
      <c r="I21" s="3" t="s">
        <v>10</v>
      </c>
      <c r="K21" s="3" t="s">
        <v>16</v>
      </c>
      <c r="L21" s="3" t="s">
        <v>17</v>
      </c>
      <c r="M21" s="3" t="s">
        <v>18</v>
      </c>
      <c r="N21" s="3" t="s">
        <v>19</v>
      </c>
      <c r="O21" s="3" t="s">
        <v>20</v>
      </c>
      <c r="P21" s="3" t="s">
        <v>21</v>
      </c>
      <c r="Q21" s="8" t="s">
        <v>22</v>
      </c>
      <c r="T21" s="3" t="s">
        <v>3</v>
      </c>
      <c r="U21" s="3" t="s">
        <v>4</v>
      </c>
      <c r="V21" s="3" t="s">
        <v>5</v>
      </c>
      <c r="W21" s="3" t="s">
        <v>6</v>
      </c>
      <c r="X21" s="3" t="s">
        <v>7</v>
      </c>
      <c r="Y21" s="3" t="s">
        <v>8</v>
      </c>
      <c r="Z21" s="3" t="s">
        <v>9</v>
      </c>
      <c r="AA21" s="3" t="s">
        <v>10</v>
      </c>
    </row>
    <row r="22" spans="2:35">
      <c r="B22" s="4" t="s">
        <v>11</v>
      </c>
      <c r="C22" s="4">
        <v>630</v>
      </c>
      <c r="D22" s="5">
        <v>10359</v>
      </c>
      <c r="E22" s="4">
        <v>0.86</v>
      </c>
      <c r="F22" s="4">
        <v>0.872</v>
      </c>
      <c r="G22" s="4">
        <v>0.91700000000000004</v>
      </c>
      <c r="H22" s="4">
        <v>0.72799999999999998</v>
      </c>
      <c r="I22" s="6">
        <f>(2*E22*F22)/(E22+F22)</f>
        <v>0.86595842956120095</v>
      </c>
      <c r="K22" s="4">
        <v>50</v>
      </c>
      <c r="L22" s="4">
        <v>16</v>
      </c>
      <c r="M22" s="4">
        <v>0.38500000000000001</v>
      </c>
      <c r="N22" s="4">
        <v>181</v>
      </c>
      <c r="O22" s="9">
        <v>2590425</v>
      </c>
      <c r="P22" s="9">
        <v>2590425</v>
      </c>
      <c r="Q22" s="10">
        <v>6.4</v>
      </c>
      <c r="T22" s="4" t="s">
        <v>11</v>
      </c>
      <c r="U22" s="4">
        <v>630</v>
      </c>
      <c r="V22" s="4">
        <v>10552</v>
      </c>
      <c r="W22" s="4">
        <v>0.86699999999999999</v>
      </c>
      <c r="X22" s="4">
        <v>0.872</v>
      </c>
      <c r="Y22" s="4">
        <v>0.91500000000000004</v>
      </c>
      <c r="Z22" s="4">
        <v>0.54100000000000004</v>
      </c>
      <c r="AA22" s="6">
        <f>(2*W22*X22)/(W22+X22)</f>
        <v>0.86949281196089712</v>
      </c>
    </row>
    <row r="23" spans="2:35">
      <c r="B23" s="4" t="s">
        <v>12</v>
      </c>
      <c r="C23" s="4">
        <v>210</v>
      </c>
      <c r="D23" s="5">
        <v>3116</v>
      </c>
      <c r="E23" s="4">
        <v>0.83799999999999997</v>
      </c>
      <c r="F23" s="4">
        <v>0.86199999999999999</v>
      </c>
      <c r="G23" s="4">
        <v>0.91700000000000004</v>
      </c>
      <c r="H23" s="4">
        <v>0.69199999999999995</v>
      </c>
      <c r="I23" s="6">
        <f t="shared" ref="I23:I25" si="2">(2*E23*F23)/(E23+F23)</f>
        <v>0.84983058823529412</v>
      </c>
      <c r="T23" s="4" t="s">
        <v>12</v>
      </c>
      <c r="U23" s="4">
        <v>210</v>
      </c>
      <c r="V23" s="4">
        <v>3346</v>
      </c>
      <c r="W23" s="4">
        <v>0.89400000000000002</v>
      </c>
      <c r="X23" s="4">
        <v>0.86799999999999999</v>
      </c>
      <c r="Y23" s="4">
        <v>0.94699999999999995</v>
      </c>
      <c r="Z23" s="4">
        <v>0.60799999999999998</v>
      </c>
      <c r="AA23" s="6">
        <f t="shared" ref="AA23:AA25" si="3">(2*W23*X23)/(W23+X23)</f>
        <v>0.88080817253121457</v>
      </c>
    </row>
    <row r="24" spans="2:35" ht="42">
      <c r="B24" s="4" t="s">
        <v>13</v>
      </c>
      <c r="C24" s="4">
        <v>210</v>
      </c>
      <c r="D24" s="5">
        <v>6435</v>
      </c>
      <c r="E24" s="4">
        <v>0.95399999999999996</v>
      </c>
      <c r="F24" s="4">
        <v>0.96699999999999997</v>
      </c>
      <c r="G24" s="4">
        <v>0.98899999999999999</v>
      </c>
      <c r="H24" s="4">
        <v>0.79400000000000004</v>
      </c>
      <c r="I24" s="6">
        <f t="shared" si="2"/>
        <v>0.96045601249349299</v>
      </c>
      <c r="K24" s="3" t="s">
        <v>23</v>
      </c>
      <c r="L24" s="11" t="s">
        <v>24</v>
      </c>
      <c r="M24" s="3" t="s">
        <v>25</v>
      </c>
      <c r="N24" s="11" t="s">
        <v>26</v>
      </c>
      <c r="O24" s="3" t="s">
        <v>27</v>
      </c>
      <c r="T24" s="4" t="s">
        <v>13</v>
      </c>
      <c r="U24" s="4">
        <v>210</v>
      </c>
      <c r="V24" s="4">
        <v>6442</v>
      </c>
      <c r="W24" s="4">
        <v>0.89600000000000002</v>
      </c>
      <c r="X24" s="4">
        <v>0.89500000000000002</v>
      </c>
      <c r="Y24" s="4">
        <v>0.91200000000000003</v>
      </c>
      <c r="Z24" s="4">
        <v>0.42199999999999999</v>
      </c>
      <c r="AA24" s="6">
        <f t="shared" si="3"/>
        <v>0.8954997208263541</v>
      </c>
      <c r="AB24" t="s">
        <v>48</v>
      </c>
    </row>
    <row r="25" spans="2:35">
      <c r="B25" s="4" t="s">
        <v>14</v>
      </c>
      <c r="C25" s="4">
        <v>210</v>
      </c>
      <c r="D25" s="5">
        <v>808</v>
      </c>
      <c r="E25" s="4">
        <v>0.78900000000000003</v>
      </c>
      <c r="F25" s="4">
        <v>0.78800000000000003</v>
      </c>
      <c r="G25" s="4">
        <v>0.84399999999999997</v>
      </c>
      <c r="H25" s="4">
        <v>0.69699999999999995</v>
      </c>
      <c r="I25" s="6">
        <f t="shared" si="2"/>
        <v>0.78849968294229555</v>
      </c>
      <c r="K25" s="4">
        <v>0.2</v>
      </c>
      <c r="L25" s="4">
        <v>2.1</v>
      </c>
      <c r="M25" s="4">
        <v>1.1000000000000001</v>
      </c>
      <c r="N25" s="4">
        <f>SUM(K25:M25)</f>
        <v>3.4000000000000004</v>
      </c>
      <c r="O25" s="4" t="s">
        <v>31</v>
      </c>
      <c r="T25" s="4" t="s">
        <v>14</v>
      </c>
      <c r="U25" s="4">
        <v>210</v>
      </c>
      <c r="V25" s="4">
        <v>764</v>
      </c>
      <c r="W25" s="4">
        <v>0.81100000000000005</v>
      </c>
      <c r="X25" s="4">
        <v>0.85199999999999998</v>
      </c>
      <c r="Y25" s="4">
        <v>0.88600000000000001</v>
      </c>
      <c r="Z25" s="4">
        <v>0.59299999999999997</v>
      </c>
      <c r="AA25" s="6">
        <f t="shared" si="3"/>
        <v>0.83099458809380644</v>
      </c>
    </row>
    <row r="28" spans="2:35">
      <c r="B28" t="s">
        <v>1</v>
      </c>
      <c r="C28" s="2" t="s">
        <v>30</v>
      </c>
      <c r="K28" s="7" t="s">
        <v>15</v>
      </c>
      <c r="L28" t="s">
        <v>61</v>
      </c>
      <c r="T28" t="s">
        <v>36</v>
      </c>
      <c r="U28" s="17" t="s">
        <v>41</v>
      </c>
    </row>
    <row r="29" spans="2:35">
      <c r="T29" t="s">
        <v>32</v>
      </c>
      <c r="U29" s="2" t="s">
        <v>33</v>
      </c>
      <c r="AC29" s="7" t="s">
        <v>15</v>
      </c>
      <c r="AE29" t="s">
        <v>61</v>
      </c>
    </row>
    <row r="30" spans="2:35">
      <c r="B30" s="3" t="s">
        <v>3</v>
      </c>
      <c r="C30" s="3" t="s">
        <v>4</v>
      </c>
      <c r="D30" s="3" t="s">
        <v>5</v>
      </c>
      <c r="E30" s="3" t="s">
        <v>6</v>
      </c>
      <c r="F30" s="3" t="s">
        <v>7</v>
      </c>
      <c r="G30" s="3" t="s">
        <v>8</v>
      </c>
      <c r="H30" s="3" t="s">
        <v>9</v>
      </c>
      <c r="I30" s="3" t="s">
        <v>10</v>
      </c>
      <c r="K30" s="3" t="s">
        <v>16</v>
      </c>
      <c r="L30" s="3" t="s">
        <v>17</v>
      </c>
      <c r="M30" s="3" t="s">
        <v>18</v>
      </c>
      <c r="N30" s="3" t="s">
        <v>19</v>
      </c>
      <c r="O30" s="3" t="s">
        <v>20</v>
      </c>
      <c r="P30" s="3" t="s">
        <v>21</v>
      </c>
      <c r="Q30" s="8" t="s">
        <v>22</v>
      </c>
    </row>
    <row r="31" spans="2:35">
      <c r="B31" s="4" t="s">
        <v>11</v>
      </c>
      <c r="C31" s="4">
        <v>630</v>
      </c>
      <c r="D31" s="5">
        <v>10359</v>
      </c>
      <c r="E31" s="4">
        <v>0.86</v>
      </c>
      <c r="F31" s="4">
        <v>0.86899999999999999</v>
      </c>
      <c r="G31" s="4">
        <v>0.91800000000000004</v>
      </c>
      <c r="H31" s="4">
        <v>0.72699999999999998</v>
      </c>
      <c r="I31" s="6">
        <f>(2*E31*F31)/(E31+F31)</f>
        <v>0.86447657605552342</v>
      </c>
      <c r="K31" s="4">
        <v>50</v>
      </c>
      <c r="L31" s="4">
        <v>16</v>
      </c>
      <c r="M31" s="4">
        <v>0.36199999999999999</v>
      </c>
      <c r="N31" s="4">
        <v>181</v>
      </c>
      <c r="O31" s="9">
        <v>2590425</v>
      </c>
      <c r="P31" s="9">
        <v>2590425</v>
      </c>
      <c r="Q31" s="10">
        <v>6.4</v>
      </c>
      <c r="T31" s="3" t="s">
        <v>3</v>
      </c>
      <c r="U31" s="3" t="s">
        <v>4</v>
      </c>
      <c r="V31" s="3" t="s">
        <v>5</v>
      </c>
      <c r="W31" s="3" t="s">
        <v>6</v>
      </c>
      <c r="X31" s="3" t="s">
        <v>7</v>
      </c>
      <c r="Y31" s="3" t="s">
        <v>8</v>
      </c>
      <c r="Z31" s="3" t="s">
        <v>9</v>
      </c>
      <c r="AA31" s="3" t="s">
        <v>10</v>
      </c>
      <c r="AC31" s="3" t="s">
        <v>16</v>
      </c>
      <c r="AD31" s="3" t="s">
        <v>17</v>
      </c>
      <c r="AE31" s="3" t="s">
        <v>57</v>
      </c>
      <c r="AF31" s="3" t="s">
        <v>19</v>
      </c>
      <c r="AG31" s="3" t="s">
        <v>20</v>
      </c>
      <c r="AH31" s="3" t="s">
        <v>21</v>
      </c>
      <c r="AI31" s="8" t="s">
        <v>22</v>
      </c>
    </row>
    <row r="32" spans="2:35">
      <c r="B32" s="4" t="s">
        <v>12</v>
      </c>
      <c r="C32" s="4">
        <v>210</v>
      </c>
      <c r="D32" s="5">
        <v>3116</v>
      </c>
      <c r="E32" s="4">
        <v>0.83699999999999997</v>
      </c>
      <c r="F32" s="4">
        <v>0.86299999999999999</v>
      </c>
      <c r="G32" s="4">
        <v>0.91600000000000004</v>
      </c>
      <c r="H32" s="4">
        <v>0.69199999999999995</v>
      </c>
      <c r="I32" s="6">
        <f t="shared" ref="I32:I34" si="4">(2*E32*F32)/(E32+F32)</f>
        <v>0.84980117647058817</v>
      </c>
      <c r="T32" s="4" t="s">
        <v>11</v>
      </c>
      <c r="U32" s="4">
        <v>630</v>
      </c>
      <c r="V32" s="4">
        <v>10552</v>
      </c>
      <c r="W32" s="4">
        <v>0.89900000000000002</v>
      </c>
      <c r="X32" s="4">
        <v>0.89800000000000002</v>
      </c>
      <c r="Y32" s="4">
        <v>0.95199999999999996</v>
      </c>
      <c r="Z32" s="4">
        <v>0.81399999999999995</v>
      </c>
      <c r="AA32" s="6">
        <f>(2*W32*X32)/(W32+X32)</f>
        <v>0.89849972175848636</v>
      </c>
      <c r="AC32" s="4">
        <v>50</v>
      </c>
      <c r="AD32" s="4">
        <v>16</v>
      </c>
      <c r="AE32" s="4">
        <v>0.59</v>
      </c>
      <c r="AF32" s="4">
        <v>203</v>
      </c>
      <c r="AG32" s="9">
        <v>2843193</v>
      </c>
      <c r="AH32" s="9">
        <v>2843177</v>
      </c>
      <c r="AI32" s="10">
        <v>9.6999999999999993</v>
      </c>
    </row>
    <row r="33" spans="2:33" ht="42">
      <c r="B33" s="4" t="s">
        <v>13</v>
      </c>
      <c r="C33" s="4">
        <v>210</v>
      </c>
      <c r="D33" s="5">
        <v>6435</v>
      </c>
      <c r="E33" s="4">
        <v>0.95</v>
      </c>
      <c r="F33" s="4">
        <v>0.96899999999999997</v>
      </c>
      <c r="G33" s="4">
        <v>0.98899999999999999</v>
      </c>
      <c r="H33" s="4">
        <v>0.79300000000000004</v>
      </c>
      <c r="I33" s="6">
        <f t="shared" si="4"/>
        <v>0.95940594059405937</v>
      </c>
      <c r="K33" s="3" t="s">
        <v>23</v>
      </c>
      <c r="L33" s="11" t="s">
        <v>24</v>
      </c>
      <c r="M33" s="3" t="s">
        <v>25</v>
      </c>
      <c r="N33" s="11" t="s">
        <v>26</v>
      </c>
      <c r="O33" s="3" t="s">
        <v>27</v>
      </c>
      <c r="T33" s="4" t="s">
        <v>12</v>
      </c>
      <c r="U33" s="4">
        <v>210</v>
      </c>
      <c r="V33" s="4">
        <v>3346</v>
      </c>
      <c r="W33" s="4">
        <v>0.89300000000000002</v>
      </c>
      <c r="X33" s="4">
        <v>0.84399999999999997</v>
      </c>
      <c r="Y33" s="4">
        <v>0.94099999999999995</v>
      </c>
      <c r="Z33" s="4">
        <v>0.80700000000000005</v>
      </c>
      <c r="AA33" s="6">
        <f t="shared" ref="AA33:AA35" si="5">(2*W33*X33)/(W33+X33)</f>
        <v>0.86780886586067929</v>
      </c>
    </row>
    <row r="34" spans="2:33" ht="42">
      <c r="B34" s="4" t="s">
        <v>14</v>
      </c>
      <c r="C34" s="4">
        <v>210</v>
      </c>
      <c r="D34" s="5">
        <v>808</v>
      </c>
      <c r="E34" s="4">
        <v>0.79300000000000004</v>
      </c>
      <c r="F34" s="4">
        <v>0.77600000000000002</v>
      </c>
      <c r="G34" s="4">
        <v>0.84799999999999998</v>
      </c>
      <c r="H34" s="4">
        <v>0.69499999999999995</v>
      </c>
      <c r="I34" s="6">
        <f t="shared" si="4"/>
        <v>0.78440790312300834</v>
      </c>
      <c r="K34" s="4">
        <v>0.1</v>
      </c>
      <c r="L34" s="4">
        <v>1.6</v>
      </c>
      <c r="M34" s="4">
        <v>1.2</v>
      </c>
      <c r="N34" s="4">
        <f>SUM(K34:M34)</f>
        <v>2.9000000000000004</v>
      </c>
      <c r="O34" s="4" t="s">
        <v>31</v>
      </c>
      <c r="T34" s="4" t="s">
        <v>13</v>
      </c>
      <c r="U34" s="4">
        <v>210</v>
      </c>
      <c r="V34" s="4">
        <v>6442</v>
      </c>
      <c r="W34" s="4">
        <v>0.96499999999999997</v>
      </c>
      <c r="X34" s="4">
        <v>0.95799999999999996</v>
      </c>
      <c r="Y34" s="4">
        <v>0.98899999999999999</v>
      </c>
      <c r="Z34" s="4">
        <v>0.79500000000000004</v>
      </c>
      <c r="AA34" s="6">
        <f t="shared" si="5"/>
        <v>0.9614872594903795</v>
      </c>
      <c r="AC34" s="3" t="s">
        <v>23</v>
      </c>
      <c r="AD34" s="11" t="s">
        <v>24</v>
      </c>
      <c r="AE34" s="3" t="s">
        <v>25</v>
      </c>
      <c r="AF34" s="11" t="s">
        <v>26</v>
      </c>
      <c r="AG34" s="3" t="s">
        <v>27</v>
      </c>
    </row>
    <row r="35" spans="2:33">
      <c r="T35" s="4" t="s">
        <v>14</v>
      </c>
      <c r="U35" s="4">
        <v>210</v>
      </c>
      <c r="V35" s="4">
        <v>764</v>
      </c>
      <c r="W35" s="4">
        <v>0.84099999999999997</v>
      </c>
      <c r="X35" s="4">
        <v>0.89</v>
      </c>
      <c r="Y35" s="4">
        <v>0.92400000000000004</v>
      </c>
      <c r="Z35" s="4">
        <v>0.84</v>
      </c>
      <c r="AA35" s="6">
        <f t="shared" si="5"/>
        <v>0.8648064702484114</v>
      </c>
      <c r="AC35" s="4">
        <v>0.2</v>
      </c>
      <c r="AD35" s="4">
        <v>2</v>
      </c>
      <c r="AE35" s="4">
        <v>1.8</v>
      </c>
      <c r="AF35" s="4">
        <f>SUM(AC35:AE35)</f>
        <v>4</v>
      </c>
      <c r="AG35" s="4" t="s">
        <v>31</v>
      </c>
    </row>
    <row r="37" spans="2:33">
      <c r="T37" t="s">
        <v>36</v>
      </c>
      <c r="U37" s="24" t="s">
        <v>42</v>
      </c>
    </row>
    <row r="38" spans="2:33">
      <c r="T38" t="s">
        <v>32</v>
      </c>
      <c r="U38" s="2" t="s">
        <v>33</v>
      </c>
    </row>
    <row r="39" spans="2:33">
      <c r="B39" s="3" t="s">
        <v>11</v>
      </c>
      <c r="C39" s="12" t="s">
        <v>52</v>
      </c>
      <c r="D39" s="12" t="s">
        <v>53</v>
      </c>
      <c r="K39" s="5"/>
      <c r="L39" s="12" t="s">
        <v>52</v>
      </c>
      <c r="M39" s="12" t="s">
        <v>27</v>
      </c>
      <c r="P39" s="7"/>
      <c r="Q39" s="7"/>
    </row>
    <row r="40" spans="2:33">
      <c r="B40" s="3" t="s">
        <v>6</v>
      </c>
      <c r="C40" s="6">
        <f>AVERAGE(E13,E22,E31)</f>
        <v>0.86</v>
      </c>
      <c r="D40" s="6">
        <f>STDEV(E13,E22,E31)</f>
        <v>0</v>
      </c>
      <c r="K40" s="18" t="s">
        <v>54</v>
      </c>
      <c r="L40" s="19">
        <f>AVERAGE(N16,N25,N34)</f>
        <v>3.0666666666666669</v>
      </c>
      <c r="M40" s="5" t="s">
        <v>55</v>
      </c>
      <c r="P40" s="23"/>
      <c r="T40" s="3" t="s">
        <v>3</v>
      </c>
      <c r="U40" s="3" t="s">
        <v>4</v>
      </c>
      <c r="V40" s="3" t="s">
        <v>5</v>
      </c>
      <c r="W40" s="3" t="s">
        <v>6</v>
      </c>
      <c r="X40" s="3" t="s">
        <v>7</v>
      </c>
      <c r="Y40" s="3" t="s">
        <v>8</v>
      </c>
      <c r="Z40" s="3" t="s">
        <v>9</v>
      </c>
      <c r="AA40" s="3" t="s">
        <v>10</v>
      </c>
    </row>
    <row r="41" spans="2:33">
      <c r="B41" s="3" t="s">
        <v>7</v>
      </c>
      <c r="C41" s="6">
        <f>AVERAGE(F13,F22,F31)</f>
        <v>0.871</v>
      </c>
      <c r="D41" s="6">
        <f>STDEV(F13,F22,F31)</f>
        <v>1.7320508075688789E-3</v>
      </c>
      <c r="K41" s="26" t="s">
        <v>18</v>
      </c>
      <c r="L41" s="30">
        <f>AVERAGE(M13,M22,M31)</f>
        <v>0.371</v>
      </c>
      <c r="M41" s="5" t="s">
        <v>58</v>
      </c>
      <c r="T41" s="4" t="s">
        <v>11</v>
      </c>
      <c r="U41" s="4">
        <v>630</v>
      </c>
      <c r="V41" s="4">
        <v>10552</v>
      </c>
      <c r="W41" s="4">
        <v>0.86899999999999999</v>
      </c>
      <c r="X41" s="4">
        <v>0.86699999999999999</v>
      </c>
      <c r="Y41" s="4">
        <v>0.90800000000000003</v>
      </c>
      <c r="Z41" s="4">
        <v>0.53400000000000003</v>
      </c>
      <c r="AA41" s="6">
        <f>(2*W41*X41)/(W41+X41)</f>
        <v>0.86799884792626725</v>
      </c>
    </row>
    <row r="42" spans="2:33">
      <c r="B42" s="3" t="s">
        <v>8</v>
      </c>
      <c r="C42" s="21">
        <f>AVERAGE(G13,G22,G31)</f>
        <v>0.91633333333333333</v>
      </c>
      <c r="D42" s="6">
        <f>STDEV(G13,G22,G31)</f>
        <v>2.0816659994661343E-3</v>
      </c>
      <c r="K42" s="27"/>
      <c r="L42" s="31">
        <f>L41*60</f>
        <v>22.259999999999998</v>
      </c>
      <c r="M42" s="27" t="s">
        <v>59</v>
      </c>
      <c r="T42" s="4" t="s">
        <v>12</v>
      </c>
      <c r="U42" s="4">
        <v>210</v>
      </c>
      <c r="V42" s="4">
        <v>3346</v>
      </c>
      <c r="W42" s="4">
        <v>0.90100000000000002</v>
      </c>
      <c r="X42" s="4">
        <v>0.85199999999999998</v>
      </c>
      <c r="Y42" s="4">
        <v>0.94599999999999995</v>
      </c>
      <c r="Z42" s="4">
        <v>0.60599999999999998</v>
      </c>
      <c r="AA42" s="6">
        <f t="shared" ref="AA42:AA44" si="6">(2*W42*X42)/(W42+X42)</f>
        <v>0.87581517398745001</v>
      </c>
    </row>
    <row r="43" spans="2:33">
      <c r="B43" s="3" t="s">
        <v>9</v>
      </c>
      <c r="C43" s="6">
        <f>AVERAGE(H13,H22,H31)</f>
        <v>0.72666666666666657</v>
      </c>
      <c r="D43" s="6">
        <f>STDEV(H13,H22,H31)</f>
        <v>1.5275252316519481E-3</v>
      </c>
      <c r="T43" s="4" t="s">
        <v>13</v>
      </c>
      <c r="U43" s="4">
        <v>210</v>
      </c>
      <c r="V43" s="4">
        <v>6442</v>
      </c>
      <c r="W43" s="4">
        <v>0.89500000000000002</v>
      </c>
      <c r="X43" s="4">
        <v>0.88900000000000001</v>
      </c>
      <c r="Y43" s="4">
        <v>0.9</v>
      </c>
      <c r="Z43" s="4">
        <v>0.41199999999999998</v>
      </c>
      <c r="AA43" s="6">
        <f t="shared" si="6"/>
        <v>0.89198991031390129</v>
      </c>
      <c r="AB43" t="s">
        <v>48</v>
      </c>
    </row>
    <row r="44" spans="2:33">
      <c r="B44" s="3" t="s">
        <v>10</v>
      </c>
      <c r="C44" s="6">
        <f>AVERAGE(I13,I22,I31)</f>
        <v>0.86546447839264173</v>
      </c>
      <c r="D44" s="6">
        <f>STDEV(I13,I22,I31)</f>
        <v>8.555485204025143E-4</v>
      </c>
      <c r="T44" s="4" t="s">
        <v>14</v>
      </c>
      <c r="U44" s="4">
        <v>210</v>
      </c>
      <c r="V44" s="4">
        <v>764</v>
      </c>
      <c r="W44" s="4">
        <v>0.81100000000000005</v>
      </c>
      <c r="X44" s="4">
        <v>0.85899999999999999</v>
      </c>
      <c r="Y44" s="4">
        <v>0.878</v>
      </c>
      <c r="Z44" s="4">
        <v>0.58299999999999996</v>
      </c>
      <c r="AA44" s="6">
        <f t="shared" si="6"/>
        <v>0.83431017964071874</v>
      </c>
    </row>
    <row r="47" spans="2:33">
      <c r="T47" t="s">
        <v>36</v>
      </c>
      <c r="U47" s="17" t="s">
        <v>41</v>
      </c>
    </row>
    <row r="48" spans="2:33">
      <c r="T48" t="s">
        <v>32</v>
      </c>
      <c r="U48" s="2" t="s">
        <v>33</v>
      </c>
      <c r="AC48" s="7" t="s">
        <v>15</v>
      </c>
      <c r="AE48" t="s">
        <v>61</v>
      </c>
    </row>
    <row r="50" spans="20:35">
      <c r="T50" s="3" t="s">
        <v>3</v>
      </c>
      <c r="U50" s="3" t="s">
        <v>4</v>
      </c>
      <c r="V50" s="3" t="s">
        <v>5</v>
      </c>
      <c r="W50" s="3" t="s">
        <v>6</v>
      </c>
      <c r="X50" s="3" t="s">
        <v>7</v>
      </c>
      <c r="Y50" s="3" t="s">
        <v>8</v>
      </c>
      <c r="Z50" s="3" t="s">
        <v>9</v>
      </c>
      <c r="AA50" s="3" t="s">
        <v>10</v>
      </c>
      <c r="AC50" s="3" t="s">
        <v>16</v>
      </c>
      <c r="AD50" s="3" t="s">
        <v>17</v>
      </c>
      <c r="AE50" s="3" t="s">
        <v>57</v>
      </c>
      <c r="AF50" s="3" t="s">
        <v>19</v>
      </c>
      <c r="AG50" s="3" t="s">
        <v>20</v>
      </c>
      <c r="AH50" s="3" t="s">
        <v>21</v>
      </c>
      <c r="AI50" s="8" t="s">
        <v>22</v>
      </c>
    </row>
    <row r="51" spans="20:35">
      <c r="T51" s="4" t="s">
        <v>11</v>
      </c>
      <c r="U51" s="4">
        <v>630</v>
      </c>
      <c r="V51" s="4">
        <v>10552</v>
      </c>
      <c r="W51" s="4">
        <v>0.88800000000000001</v>
      </c>
      <c r="X51" s="4">
        <v>0.91400000000000003</v>
      </c>
      <c r="Y51" s="4">
        <v>0.95299999999999996</v>
      </c>
      <c r="Z51" s="4">
        <v>0.80500000000000005</v>
      </c>
      <c r="AA51" s="6">
        <f>(2*W51*X51)/(W51+X51)</f>
        <v>0.90081243063263039</v>
      </c>
      <c r="AC51" s="4">
        <v>50</v>
      </c>
      <c r="AD51" s="4">
        <v>16</v>
      </c>
      <c r="AE51" s="4">
        <v>0.69899999999999995</v>
      </c>
      <c r="AF51" s="4">
        <v>203</v>
      </c>
      <c r="AG51" s="9">
        <v>2843193</v>
      </c>
      <c r="AH51" s="9">
        <v>2843177</v>
      </c>
      <c r="AI51" s="10">
        <v>9.6999999999999993</v>
      </c>
    </row>
    <row r="52" spans="20:35">
      <c r="T52" s="4" t="s">
        <v>12</v>
      </c>
      <c r="U52" s="4">
        <v>210</v>
      </c>
      <c r="V52" s="4">
        <v>3346</v>
      </c>
      <c r="W52" s="4">
        <v>0.86199999999999999</v>
      </c>
      <c r="X52" s="4">
        <v>0.877</v>
      </c>
      <c r="Y52" s="4">
        <v>0.94</v>
      </c>
      <c r="Z52" s="4">
        <v>0.79100000000000004</v>
      </c>
      <c r="AA52" s="6">
        <f t="shared" ref="AA52:AA54" si="7">(2*W52*X52)/(W52+X52)</f>
        <v>0.86943530764807375</v>
      </c>
    </row>
    <row r="53" spans="20:35" ht="42">
      <c r="T53" s="4" t="s">
        <v>13</v>
      </c>
      <c r="U53" s="4">
        <v>210</v>
      </c>
      <c r="V53" s="4">
        <v>6442</v>
      </c>
      <c r="W53" s="4">
        <v>0.94899999999999995</v>
      </c>
      <c r="X53" s="4">
        <v>0.96599999999999997</v>
      </c>
      <c r="Y53" s="4">
        <v>0.98799999999999999</v>
      </c>
      <c r="Z53" s="4">
        <v>0.77400000000000002</v>
      </c>
      <c r="AA53" s="6">
        <f t="shared" si="7"/>
        <v>0.95742454308093983</v>
      </c>
      <c r="AC53" s="3" t="s">
        <v>23</v>
      </c>
      <c r="AD53" s="11" t="s">
        <v>24</v>
      </c>
      <c r="AE53" s="3" t="s">
        <v>25</v>
      </c>
      <c r="AF53" s="11" t="s">
        <v>26</v>
      </c>
      <c r="AG53" s="3" t="s">
        <v>27</v>
      </c>
    </row>
    <row r="54" spans="20:35">
      <c r="T54" s="4" t="s">
        <v>14</v>
      </c>
      <c r="U54" s="4">
        <v>210</v>
      </c>
      <c r="V54" s="4">
        <v>764</v>
      </c>
      <c r="W54" s="4">
        <v>0.85299999999999998</v>
      </c>
      <c r="X54" s="4">
        <v>0.89900000000000002</v>
      </c>
      <c r="Y54" s="4">
        <v>0.93100000000000005</v>
      </c>
      <c r="Z54" s="4">
        <v>0.85</v>
      </c>
      <c r="AA54" s="6">
        <f t="shared" si="7"/>
        <v>0.87539611872146117</v>
      </c>
      <c r="AC54" s="4">
        <v>0.1</v>
      </c>
      <c r="AD54" s="4">
        <v>2</v>
      </c>
      <c r="AE54" s="4">
        <v>2.8</v>
      </c>
      <c r="AF54" s="4">
        <f>SUM(AC54:AE54)</f>
        <v>4.9000000000000004</v>
      </c>
      <c r="AG54" s="4" t="s">
        <v>31</v>
      </c>
    </row>
    <row r="56" spans="20:35">
      <c r="T56" t="s">
        <v>36</v>
      </c>
      <c r="U56" s="24" t="s">
        <v>42</v>
      </c>
    </row>
    <row r="57" spans="20:35">
      <c r="T57" t="s">
        <v>32</v>
      </c>
      <c r="U57" s="2" t="s">
        <v>33</v>
      </c>
    </row>
    <row r="59" spans="20:35">
      <c r="T59" s="3" t="s">
        <v>3</v>
      </c>
      <c r="U59" s="3" t="s">
        <v>4</v>
      </c>
      <c r="V59" s="3" t="s">
        <v>5</v>
      </c>
      <c r="W59" s="3" t="s">
        <v>6</v>
      </c>
      <c r="X59" s="3" t="s">
        <v>7</v>
      </c>
      <c r="Y59" s="3" t="s">
        <v>8</v>
      </c>
      <c r="Z59" s="3" t="s">
        <v>9</v>
      </c>
      <c r="AA59" s="3" t="s">
        <v>10</v>
      </c>
    </row>
    <row r="60" spans="20:35">
      <c r="T60" s="4" t="s">
        <v>11</v>
      </c>
      <c r="U60" s="4">
        <v>630</v>
      </c>
      <c r="V60" s="4">
        <v>10552</v>
      </c>
      <c r="W60" s="4">
        <v>0.85899999999999999</v>
      </c>
      <c r="X60" s="4">
        <v>0.88300000000000001</v>
      </c>
      <c r="Y60" s="4">
        <v>0.91300000000000003</v>
      </c>
      <c r="Z60" s="4">
        <v>0.53400000000000003</v>
      </c>
      <c r="AA60" s="6">
        <f>(2*W60*X60)/(W60+X60)</f>
        <v>0.87083467278989668</v>
      </c>
    </row>
    <row r="61" spans="20:35">
      <c r="T61" s="4" t="s">
        <v>12</v>
      </c>
      <c r="U61" s="4">
        <v>210</v>
      </c>
      <c r="V61" s="4">
        <v>3346</v>
      </c>
      <c r="W61" s="4">
        <v>0.872</v>
      </c>
      <c r="X61" s="4">
        <v>0.88700000000000001</v>
      </c>
      <c r="Y61" s="4">
        <v>0.84499999999999997</v>
      </c>
      <c r="Z61" s="4">
        <v>0.59899999999999998</v>
      </c>
      <c r="AA61" s="6">
        <f t="shared" ref="AA61:AA63" si="8">(2*W61*X61)/(W61+X61)</f>
        <v>0.87943604320636737</v>
      </c>
    </row>
    <row r="62" spans="20:35">
      <c r="T62" s="4" t="s">
        <v>13</v>
      </c>
      <c r="U62" s="4">
        <v>210</v>
      </c>
      <c r="V62" s="4">
        <v>6442</v>
      </c>
      <c r="W62" s="4">
        <v>0.88800000000000001</v>
      </c>
      <c r="X62" s="4">
        <v>0.90300000000000002</v>
      </c>
      <c r="Y62" s="4">
        <v>0.90100000000000002</v>
      </c>
      <c r="Z62" s="4">
        <v>0.38400000000000001</v>
      </c>
      <c r="AA62" s="6">
        <f t="shared" si="8"/>
        <v>0.89543718592964827</v>
      </c>
      <c r="AB62" t="s">
        <v>48</v>
      </c>
    </row>
    <row r="63" spans="20:35">
      <c r="T63" s="4" t="s">
        <v>14</v>
      </c>
      <c r="U63" s="4">
        <v>210</v>
      </c>
      <c r="V63" s="4">
        <v>764</v>
      </c>
      <c r="W63" s="4">
        <v>0.81699999999999995</v>
      </c>
      <c r="X63" s="4">
        <v>0.58899999999999997</v>
      </c>
      <c r="Y63" s="4">
        <v>0.89400000000000002</v>
      </c>
      <c r="Z63" s="4">
        <v>0.61899999999999999</v>
      </c>
      <c r="AA63" s="6">
        <f t="shared" si="8"/>
        <v>0.68451351351351353</v>
      </c>
    </row>
    <row r="69" spans="20:31">
      <c r="T69" s="3" t="s">
        <v>11</v>
      </c>
      <c r="U69" s="12" t="s">
        <v>52</v>
      </c>
      <c r="V69" s="12" t="s">
        <v>53</v>
      </c>
      <c r="X69" s="3" t="s">
        <v>11</v>
      </c>
      <c r="Y69" s="12" t="s">
        <v>52</v>
      </c>
      <c r="Z69" s="12" t="s">
        <v>53</v>
      </c>
      <c r="AC69" s="5"/>
      <c r="AD69" s="12" t="s">
        <v>52</v>
      </c>
      <c r="AE69" s="12" t="s">
        <v>27</v>
      </c>
    </row>
    <row r="70" spans="20:31" ht="28">
      <c r="T70" s="3" t="s">
        <v>6</v>
      </c>
      <c r="U70" s="6">
        <f>AVERAGE(W13,W32,W51)</f>
        <v>0.8929999999999999</v>
      </c>
      <c r="V70" s="6">
        <f>STDEV(W13,W32,W51)</f>
        <v>5.5677643628300267E-3</v>
      </c>
      <c r="X70" s="3" t="s">
        <v>6</v>
      </c>
      <c r="Y70" s="6">
        <f>AVERAGE(W22,W41,W60)</f>
        <v>0.86499999999999988</v>
      </c>
      <c r="Z70" s="6">
        <f>STDEV(W22,W41,W60)</f>
        <v>5.2915026221291859E-3</v>
      </c>
      <c r="AC70" s="18" t="s">
        <v>54</v>
      </c>
      <c r="AD70" s="19">
        <f>AVERAGE(AF16,AF35,AF54)</f>
        <v>4.2666666666666666</v>
      </c>
      <c r="AE70" s="5" t="s">
        <v>55</v>
      </c>
    </row>
    <row r="71" spans="20:31">
      <c r="T71" s="3" t="s">
        <v>7</v>
      </c>
      <c r="U71" s="6">
        <f>AVERAGE(X13,X32,X51)</f>
        <v>0.90400000000000003</v>
      </c>
      <c r="V71" s="6">
        <f>STDEV(X13,X32,X51)</f>
        <v>8.7177978870813556E-3</v>
      </c>
      <c r="X71" s="3" t="s">
        <v>7</v>
      </c>
      <c r="Y71" s="6">
        <f>AVERAGE(X22,X41,X60)</f>
        <v>0.874</v>
      </c>
      <c r="Z71" s="6">
        <f>STDEV(X22,X41,X60)</f>
        <v>8.1853527718724565E-3</v>
      </c>
      <c r="AC71" s="26" t="s">
        <v>18</v>
      </c>
      <c r="AD71" s="30">
        <f>AVERAGE(AE13,AE32,AE51)</f>
        <v>0.6243333333333333</v>
      </c>
      <c r="AE71" s="5" t="s">
        <v>58</v>
      </c>
    </row>
    <row r="72" spans="20:31">
      <c r="T72" s="3" t="s">
        <v>8</v>
      </c>
      <c r="U72" s="21">
        <f>AVERAGE(Y13,Y32,Y51)</f>
        <v>0.95233333333333325</v>
      </c>
      <c r="V72" s="6">
        <f>STDEV(Y13,Y32,Y51)</f>
        <v>5.7735026918962634E-4</v>
      </c>
      <c r="X72" s="3" t="s">
        <v>8</v>
      </c>
      <c r="Y72" s="21">
        <f>AVERAGE(Y22,Y41,Y60)</f>
        <v>0.91199999999999992</v>
      </c>
      <c r="Z72" s="6">
        <f>STDEV(Y22,Y41,Y60)</f>
        <v>3.6055512754639926E-3</v>
      </c>
      <c r="AC72" s="27"/>
      <c r="AD72" s="31">
        <f>AD71*60</f>
        <v>37.46</v>
      </c>
      <c r="AE72" s="27" t="s">
        <v>59</v>
      </c>
    </row>
    <row r="73" spans="20:31">
      <c r="T73" s="3" t="s">
        <v>9</v>
      </c>
      <c r="U73" s="6">
        <f>AVERAGE(Z13,Z32,Z51)</f>
        <v>0.81</v>
      </c>
      <c r="V73" s="6">
        <f>STDEV(Z13,Z32,Z51)</f>
        <v>4.5825756949557954E-3</v>
      </c>
      <c r="X73" s="3" t="s">
        <v>9</v>
      </c>
      <c r="Y73" s="6">
        <f>AVERAGE(Z22,Z41,Z60)</f>
        <v>0.53633333333333344</v>
      </c>
      <c r="Z73" s="6">
        <f>STDEV(Z22,Z41,Z60)</f>
        <v>4.0414518843273836E-3</v>
      </c>
    </row>
    <row r="74" spans="20:31">
      <c r="T74" s="3" t="s">
        <v>10</v>
      </c>
      <c r="U74" s="6">
        <f>AVERAGE(AA13,AA32,AA51)</f>
        <v>0.89843143174941986</v>
      </c>
      <c r="V74" s="6">
        <f>STDEV(AA13,AA32,AA51)</f>
        <v>2.415867885980021E-3</v>
      </c>
      <c r="X74" s="3" t="s">
        <v>10</v>
      </c>
      <c r="Y74" s="6">
        <f>AVERAGE(AA22,AA41,AA60)</f>
        <v>0.86944211089235368</v>
      </c>
      <c r="Z74" s="6">
        <f>STDEV(AA22,AA41,AA60)</f>
        <v>1.4185921235712212E-3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4A030-BD7D-46DC-BFC4-37ADE683F574}">
  <dimension ref="B1:BP75"/>
  <sheetViews>
    <sheetView topLeftCell="AB1" zoomScale="55" zoomScaleNormal="55" workbookViewId="0">
      <selection activeCell="AY35" sqref="AY35"/>
    </sheetView>
  </sheetViews>
  <sheetFormatPr defaultRowHeight="14"/>
  <cols>
    <col min="3" max="3" width="8.5" customWidth="1"/>
    <col min="4" max="4" width="9.9140625" customWidth="1"/>
    <col min="10" max="10" width="9.1640625" customWidth="1"/>
    <col min="11" max="11" width="9.75" customWidth="1"/>
    <col min="13" max="13" width="10.4140625" customWidth="1"/>
    <col min="15" max="15" width="10.6640625" customWidth="1"/>
    <col min="16" max="16" width="9.6640625" customWidth="1"/>
    <col min="28" max="28" width="10.83203125" customWidth="1"/>
    <col min="32" max="32" width="10.75" customWidth="1"/>
    <col min="33" max="33" width="10.4140625" customWidth="1"/>
    <col min="46" max="46" width="10.33203125" bestFit="1" customWidth="1"/>
    <col min="49" max="50" width="9.9140625" bestFit="1" customWidth="1"/>
    <col min="66" max="66" width="10.5" customWidth="1"/>
    <col min="67" max="67" width="10.83203125" customWidth="1"/>
  </cols>
  <sheetData>
    <row r="1" spans="2:68" ht="45">
      <c r="B1" s="1" t="s">
        <v>63</v>
      </c>
    </row>
    <row r="9" spans="2:68">
      <c r="B9" t="s">
        <v>36</v>
      </c>
      <c r="C9" s="14" t="s">
        <v>43</v>
      </c>
      <c r="S9" t="s">
        <v>36</v>
      </c>
      <c r="T9" s="14" t="s">
        <v>43</v>
      </c>
      <c r="W9" t="s">
        <v>49</v>
      </c>
      <c r="AJ9" t="s">
        <v>36</v>
      </c>
      <c r="AK9" s="14" t="s">
        <v>43</v>
      </c>
      <c r="AN9" t="s">
        <v>49</v>
      </c>
      <c r="BA9" t="s">
        <v>36</v>
      </c>
      <c r="BB9" s="14" t="s">
        <v>43</v>
      </c>
      <c r="BE9" t="s">
        <v>49</v>
      </c>
    </row>
    <row r="10" spans="2:68">
      <c r="B10" t="s">
        <v>32</v>
      </c>
      <c r="C10" s="2" t="s">
        <v>44</v>
      </c>
      <c r="K10" s="7" t="s">
        <v>15</v>
      </c>
      <c r="M10" t="s">
        <v>61</v>
      </c>
      <c r="S10" t="s">
        <v>32</v>
      </c>
      <c r="T10" s="2" t="s">
        <v>45</v>
      </c>
      <c r="AB10" s="7" t="s">
        <v>15</v>
      </c>
      <c r="AD10" t="s">
        <v>61</v>
      </c>
      <c r="AJ10" t="s">
        <v>32</v>
      </c>
      <c r="AK10" s="2" t="s">
        <v>46</v>
      </c>
      <c r="AS10" s="7" t="s">
        <v>15</v>
      </c>
      <c r="AU10" t="s">
        <v>61</v>
      </c>
      <c r="BA10" t="s">
        <v>32</v>
      </c>
      <c r="BB10" s="2" t="s">
        <v>47</v>
      </c>
      <c r="BJ10" s="7" t="s">
        <v>15</v>
      </c>
      <c r="BL10" t="s">
        <v>61</v>
      </c>
    </row>
    <row r="12" spans="2:68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K12" s="3" t="s">
        <v>16</v>
      </c>
      <c r="L12" s="3" t="s">
        <v>17</v>
      </c>
      <c r="M12" s="3" t="s">
        <v>57</v>
      </c>
      <c r="N12" s="3" t="s">
        <v>19</v>
      </c>
      <c r="O12" s="3" t="s">
        <v>20</v>
      </c>
      <c r="P12" s="3" t="s">
        <v>21</v>
      </c>
      <c r="Q12" s="8" t="s">
        <v>22</v>
      </c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  <c r="X12" s="3" t="s">
        <v>8</v>
      </c>
      <c r="Y12" s="3" t="s">
        <v>9</v>
      </c>
      <c r="Z12" s="3" t="s">
        <v>10</v>
      </c>
      <c r="AB12" s="3" t="s">
        <v>16</v>
      </c>
      <c r="AC12" s="3" t="s">
        <v>17</v>
      </c>
      <c r="AD12" s="3" t="s">
        <v>57</v>
      </c>
      <c r="AE12" s="3" t="s">
        <v>19</v>
      </c>
      <c r="AF12" s="3" t="s">
        <v>20</v>
      </c>
      <c r="AG12" s="3" t="s">
        <v>21</v>
      </c>
      <c r="AH12" s="8" t="s">
        <v>22</v>
      </c>
      <c r="AJ12" s="3" t="s">
        <v>3</v>
      </c>
      <c r="AK12" s="3" t="s">
        <v>4</v>
      </c>
      <c r="AL12" s="3" t="s">
        <v>5</v>
      </c>
      <c r="AM12" s="3" t="s">
        <v>6</v>
      </c>
      <c r="AN12" s="3" t="s">
        <v>7</v>
      </c>
      <c r="AO12" s="3" t="s">
        <v>8</v>
      </c>
      <c r="AP12" s="3" t="s">
        <v>9</v>
      </c>
      <c r="AQ12" s="3" t="s">
        <v>10</v>
      </c>
      <c r="AS12" s="3" t="s">
        <v>16</v>
      </c>
      <c r="AT12" s="3" t="s">
        <v>17</v>
      </c>
      <c r="AU12" s="3" t="s">
        <v>57</v>
      </c>
      <c r="AV12" s="3" t="s">
        <v>19</v>
      </c>
      <c r="AW12" s="3" t="s">
        <v>20</v>
      </c>
      <c r="AX12" s="3" t="s">
        <v>21</v>
      </c>
      <c r="AY12" s="8" t="s">
        <v>22</v>
      </c>
      <c r="BA12" s="3" t="s">
        <v>3</v>
      </c>
      <c r="BB12" s="3" t="s">
        <v>4</v>
      </c>
      <c r="BC12" s="3" t="s">
        <v>5</v>
      </c>
      <c r="BD12" s="3" t="s">
        <v>6</v>
      </c>
      <c r="BE12" s="3" t="s">
        <v>7</v>
      </c>
      <c r="BF12" s="3" t="s">
        <v>8</v>
      </c>
      <c r="BG12" s="3" t="s">
        <v>9</v>
      </c>
      <c r="BH12" s="3" t="s">
        <v>10</v>
      </c>
      <c r="BJ12" s="3" t="s">
        <v>16</v>
      </c>
      <c r="BK12" s="3" t="s">
        <v>17</v>
      </c>
      <c r="BL12" s="3" t="s">
        <v>57</v>
      </c>
      <c r="BM12" s="3" t="s">
        <v>19</v>
      </c>
      <c r="BN12" s="3" t="s">
        <v>20</v>
      </c>
      <c r="BO12" s="3" t="s">
        <v>21</v>
      </c>
      <c r="BP12" s="8" t="s">
        <v>22</v>
      </c>
    </row>
    <row r="13" spans="2:68">
      <c r="B13" s="4" t="s">
        <v>11</v>
      </c>
      <c r="C13" s="4">
        <v>630</v>
      </c>
      <c r="D13" s="4">
        <v>10359</v>
      </c>
      <c r="E13" s="4">
        <v>0.871</v>
      </c>
      <c r="F13" s="4">
        <v>0.86799999999999999</v>
      </c>
      <c r="G13" s="4">
        <v>0.91900000000000004</v>
      </c>
      <c r="H13" s="4">
        <v>0.73799999999999999</v>
      </c>
      <c r="I13" s="6">
        <f>(2*E13*F13)/(E13+F13)</f>
        <v>0.86949741230592303</v>
      </c>
      <c r="K13" s="4">
        <v>50</v>
      </c>
      <c r="L13" s="4">
        <v>16</v>
      </c>
      <c r="M13" s="4">
        <v>0.53400000000000003</v>
      </c>
      <c r="N13" s="4">
        <v>181</v>
      </c>
      <c r="O13" s="9">
        <v>9428953</v>
      </c>
      <c r="P13" s="9">
        <v>9428937</v>
      </c>
      <c r="Q13" s="10">
        <v>21.6</v>
      </c>
      <c r="S13" s="4" t="s">
        <v>11</v>
      </c>
      <c r="T13" s="4">
        <v>630</v>
      </c>
      <c r="U13" s="4">
        <v>10359</v>
      </c>
      <c r="V13" s="4">
        <v>0.87</v>
      </c>
      <c r="W13" s="4">
        <v>0.86799999999999999</v>
      </c>
      <c r="X13" s="4">
        <v>0.91900000000000004</v>
      </c>
      <c r="Y13" s="4">
        <v>0.73799999999999999</v>
      </c>
      <c r="Z13" s="6">
        <f>(2*V13*W13)/(V13+W13)</f>
        <v>0.86899884925201376</v>
      </c>
      <c r="AB13" s="4">
        <v>50</v>
      </c>
      <c r="AC13" s="4">
        <v>16</v>
      </c>
      <c r="AD13" s="4">
        <v>0.93</v>
      </c>
      <c r="AE13" s="4">
        <v>231</v>
      </c>
      <c r="AF13" s="9">
        <v>20055321</v>
      </c>
      <c r="AG13" s="9">
        <v>20055305</v>
      </c>
      <c r="AH13" s="10">
        <v>68.2</v>
      </c>
      <c r="AJ13" s="4" t="s">
        <v>11</v>
      </c>
      <c r="AK13" s="4">
        <v>630</v>
      </c>
      <c r="AL13" s="4">
        <v>10359</v>
      </c>
      <c r="AM13" s="4">
        <v>0.85899999999999999</v>
      </c>
      <c r="AN13" s="4">
        <v>0.89</v>
      </c>
      <c r="AO13" s="4">
        <v>0.91900000000000004</v>
      </c>
      <c r="AP13" s="4">
        <v>0.74099999999999999</v>
      </c>
      <c r="AQ13" s="6">
        <f>(2*AM13*AN13)/(AM13+AN13)</f>
        <v>0.87422527158376218</v>
      </c>
      <c r="AS13" s="4">
        <v>50</v>
      </c>
      <c r="AT13" s="4">
        <v>16</v>
      </c>
      <c r="AU13" s="4">
        <v>1.1599999999999999</v>
      </c>
      <c r="AV13" s="4">
        <v>375</v>
      </c>
      <c r="AW13" s="9">
        <v>25312793</v>
      </c>
      <c r="AX13" s="9">
        <v>25312777</v>
      </c>
      <c r="AY13" s="10">
        <v>87.3</v>
      </c>
      <c r="BA13" s="4" t="s">
        <v>11</v>
      </c>
      <c r="BB13" s="4">
        <v>630</v>
      </c>
      <c r="BC13" s="4">
        <v>10359</v>
      </c>
      <c r="BD13" s="4">
        <v>0.84899999999999998</v>
      </c>
      <c r="BE13" s="4">
        <v>0.89</v>
      </c>
      <c r="BF13" s="4">
        <v>0.92100000000000004</v>
      </c>
      <c r="BG13" s="4">
        <v>0.74</v>
      </c>
      <c r="BH13" s="6">
        <f>(2*BD13*BE13)/(BD13+BE13)</f>
        <v>0.86901667625071888</v>
      </c>
      <c r="BJ13" s="4">
        <v>50</v>
      </c>
      <c r="BK13" s="4">
        <v>16</v>
      </c>
      <c r="BL13" s="4">
        <v>1.972</v>
      </c>
      <c r="BM13" s="4">
        <v>357</v>
      </c>
      <c r="BN13" s="9">
        <v>56877241</v>
      </c>
      <c r="BO13" s="9">
        <v>56877225</v>
      </c>
      <c r="BP13" s="10">
        <v>195.5</v>
      </c>
    </row>
    <row r="14" spans="2:68">
      <c r="B14" s="4" t="s">
        <v>12</v>
      </c>
      <c r="C14" s="4">
        <v>210</v>
      </c>
      <c r="D14" s="4">
        <v>3116</v>
      </c>
      <c r="E14" s="4">
        <v>0.85199999999999998</v>
      </c>
      <c r="F14" s="4">
        <v>0.85799999999999998</v>
      </c>
      <c r="G14" s="4">
        <v>0.92500000000000004</v>
      </c>
      <c r="H14" s="4">
        <v>0.70799999999999996</v>
      </c>
      <c r="I14" s="6">
        <f t="shared" ref="I14:I16" si="0">(2*E14*F14)/(E14+F14)</f>
        <v>0.85498947368421052</v>
      </c>
      <c r="S14" s="4" t="s">
        <v>12</v>
      </c>
      <c r="T14" s="4">
        <v>210</v>
      </c>
      <c r="U14" s="4">
        <v>3116</v>
      </c>
      <c r="V14" s="4">
        <v>0.85899999999999999</v>
      </c>
      <c r="W14" s="4">
        <v>0.85299999999999998</v>
      </c>
      <c r="X14" s="4">
        <v>0.92300000000000004</v>
      </c>
      <c r="Y14" s="4">
        <v>0.70599999999999996</v>
      </c>
      <c r="Z14" s="6">
        <f t="shared" ref="Z14:Z16" si="1">(2*V14*W14)/(V14+W14)</f>
        <v>0.85598948598130842</v>
      </c>
      <c r="AJ14" s="4" t="s">
        <v>12</v>
      </c>
      <c r="AK14" s="4">
        <v>210</v>
      </c>
      <c r="AL14" s="4">
        <v>3116</v>
      </c>
      <c r="AM14" s="4">
        <v>0.84499999999999997</v>
      </c>
      <c r="AN14" s="4">
        <v>0.86799999999999999</v>
      </c>
      <c r="AO14" s="4">
        <v>0.82299999999999995</v>
      </c>
      <c r="AP14" s="4">
        <v>0.70399999999999996</v>
      </c>
      <c r="AQ14" s="6">
        <f t="shared" ref="AQ14:AQ16" si="2">(2*AM14*AN14)/(AM14+AN14)</f>
        <v>0.85634559252772913</v>
      </c>
      <c r="BA14" s="4" t="s">
        <v>12</v>
      </c>
      <c r="BB14" s="4">
        <v>210</v>
      </c>
      <c r="BC14" s="4">
        <v>3116</v>
      </c>
      <c r="BD14" s="4">
        <v>0.82799999999999996</v>
      </c>
      <c r="BE14" s="4">
        <v>0.88100000000000001</v>
      </c>
      <c r="BF14" s="4">
        <v>0.92300000000000004</v>
      </c>
      <c r="BG14" s="4">
        <v>0.70599999999999996</v>
      </c>
      <c r="BH14" s="6">
        <f t="shared" ref="BH14:BH16" si="3">(2*BD14*BE14)/(BD14+BE14)</f>
        <v>0.85367817437097715</v>
      </c>
    </row>
    <row r="15" spans="2:68" ht="42">
      <c r="B15" s="4" t="s">
        <v>13</v>
      </c>
      <c r="C15" s="4">
        <v>210</v>
      </c>
      <c r="D15" s="4">
        <v>6435</v>
      </c>
      <c r="E15" s="4">
        <v>0.96899999999999997</v>
      </c>
      <c r="F15" s="4">
        <v>0.96299999999999997</v>
      </c>
      <c r="G15" s="4">
        <v>0.98899999999999999</v>
      </c>
      <c r="H15" s="4">
        <v>0.80200000000000005</v>
      </c>
      <c r="I15" s="6">
        <f t="shared" si="0"/>
        <v>0.96599068322981363</v>
      </c>
      <c r="K15" s="3" t="s">
        <v>23</v>
      </c>
      <c r="L15" s="11" t="s">
        <v>24</v>
      </c>
      <c r="M15" s="3" t="s">
        <v>25</v>
      </c>
      <c r="N15" s="11" t="s">
        <v>26</v>
      </c>
      <c r="O15" s="3" t="s">
        <v>27</v>
      </c>
      <c r="S15" s="4" t="s">
        <v>13</v>
      </c>
      <c r="T15" s="4">
        <v>210</v>
      </c>
      <c r="U15" s="4">
        <v>6435</v>
      </c>
      <c r="V15" s="4">
        <v>0.97199999999999998</v>
      </c>
      <c r="W15" s="4">
        <v>0.95599999999999996</v>
      </c>
      <c r="X15" s="4">
        <v>0.99</v>
      </c>
      <c r="Y15" s="4">
        <v>0.80400000000000005</v>
      </c>
      <c r="Z15" s="6">
        <f t="shared" si="1"/>
        <v>0.96393360995850619</v>
      </c>
      <c r="AB15" s="3" t="s">
        <v>23</v>
      </c>
      <c r="AC15" s="11" t="s">
        <v>24</v>
      </c>
      <c r="AD15" s="3" t="s">
        <v>25</v>
      </c>
      <c r="AE15" s="11" t="s">
        <v>26</v>
      </c>
      <c r="AF15" s="3" t="s">
        <v>27</v>
      </c>
      <c r="AJ15" s="4" t="s">
        <v>13</v>
      </c>
      <c r="AK15" s="4">
        <v>210</v>
      </c>
      <c r="AL15" s="4">
        <v>6435</v>
      </c>
      <c r="AM15" s="4">
        <v>0.96499999999999997</v>
      </c>
      <c r="AN15" s="4">
        <v>0.97299999999999998</v>
      </c>
      <c r="AO15" s="4">
        <v>0.99</v>
      </c>
      <c r="AP15" s="4">
        <v>0.80300000000000005</v>
      </c>
      <c r="AQ15" s="6">
        <f t="shared" si="2"/>
        <v>0.96898348813209489</v>
      </c>
      <c r="AS15" s="3" t="s">
        <v>23</v>
      </c>
      <c r="AT15" s="11" t="s">
        <v>24</v>
      </c>
      <c r="AU15" s="3" t="s">
        <v>25</v>
      </c>
      <c r="AV15" s="11" t="s">
        <v>26</v>
      </c>
      <c r="AW15" s="3" t="s">
        <v>27</v>
      </c>
      <c r="BA15" s="4" t="s">
        <v>13</v>
      </c>
      <c r="BB15" s="4">
        <v>210</v>
      </c>
      <c r="BC15" s="4">
        <v>6435</v>
      </c>
      <c r="BD15" s="4">
        <v>0.96699999999999997</v>
      </c>
      <c r="BE15" s="4">
        <v>0.96799999999999997</v>
      </c>
      <c r="BF15" s="4">
        <v>0.99</v>
      </c>
      <c r="BG15" s="4">
        <v>0.80500000000000005</v>
      </c>
      <c r="BH15" s="6">
        <f t="shared" si="3"/>
        <v>0.9674997416020672</v>
      </c>
      <c r="BJ15" s="3" t="s">
        <v>23</v>
      </c>
      <c r="BK15" s="11" t="s">
        <v>24</v>
      </c>
      <c r="BL15" s="3" t="s">
        <v>25</v>
      </c>
      <c r="BM15" s="11" t="s">
        <v>26</v>
      </c>
      <c r="BN15" s="3" t="s">
        <v>27</v>
      </c>
    </row>
    <row r="16" spans="2:68">
      <c r="B16" s="4" t="s">
        <v>14</v>
      </c>
      <c r="C16" s="4">
        <v>210</v>
      </c>
      <c r="D16" s="4">
        <v>808</v>
      </c>
      <c r="E16" s="4">
        <v>0.79200000000000004</v>
      </c>
      <c r="F16" s="4">
        <v>0.78100000000000003</v>
      </c>
      <c r="G16" s="4">
        <v>0.84299999999999997</v>
      </c>
      <c r="H16" s="4">
        <v>0.70299999999999996</v>
      </c>
      <c r="I16" s="6">
        <f t="shared" si="0"/>
        <v>0.78646153846153866</v>
      </c>
      <c r="K16" s="4">
        <v>0.2</v>
      </c>
      <c r="L16" s="4">
        <v>3.8</v>
      </c>
      <c r="M16" s="4">
        <v>1.8</v>
      </c>
      <c r="N16" s="4">
        <f>SUM(K16:M16)</f>
        <v>5.8</v>
      </c>
      <c r="O16" s="4" t="s">
        <v>31</v>
      </c>
      <c r="S16" s="4" t="s">
        <v>14</v>
      </c>
      <c r="T16" s="4">
        <v>210</v>
      </c>
      <c r="U16" s="4">
        <v>808</v>
      </c>
      <c r="V16" s="4">
        <v>0.77900000000000003</v>
      </c>
      <c r="W16" s="4">
        <v>0.79600000000000004</v>
      </c>
      <c r="X16" s="4">
        <v>0.84299999999999997</v>
      </c>
      <c r="Y16" s="4">
        <v>0.70299999999999996</v>
      </c>
      <c r="Z16" s="6">
        <f t="shared" si="1"/>
        <v>0.78740825396825398</v>
      </c>
      <c r="AB16" s="4">
        <v>0.1</v>
      </c>
      <c r="AC16" s="4">
        <v>7.1</v>
      </c>
      <c r="AD16" s="4">
        <v>0.9</v>
      </c>
      <c r="AE16" s="4">
        <f>SUM(AB16:AD16)</f>
        <v>8.1</v>
      </c>
      <c r="AF16" s="4" t="s">
        <v>31</v>
      </c>
      <c r="AJ16" s="4" t="s">
        <v>14</v>
      </c>
      <c r="AK16" s="4">
        <v>210</v>
      </c>
      <c r="AL16" s="4">
        <v>808</v>
      </c>
      <c r="AM16" s="4">
        <v>0.76600000000000001</v>
      </c>
      <c r="AN16" s="4">
        <v>0.82799999999999996</v>
      </c>
      <c r="AO16" s="4">
        <v>0.84399999999999997</v>
      </c>
      <c r="AP16" s="4">
        <v>0.71599999999999997</v>
      </c>
      <c r="AQ16" s="6">
        <f t="shared" si="2"/>
        <v>0.7957942283563364</v>
      </c>
      <c r="AS16" s="4">
        <v>0.1</v>
      </c>
      <c r="AT16" s="4">
        <v>9.1</v>
      </c>
      <c r="AU16" s="4">
        <v>0.8</v>
      </c>
      <c r="AV16" s="4">
        <f>SUM(AS16:AU16)</f>
        <v>10</v>
      </c>
      <c r="AW16" s="4" t="s">
        <v>31</v>
      </c>
      <c r="BA16" s="4" t="s">
        <v>14</v>
      </c>
      <c r="BB16" s="4">
        <v>210</v>
      </c>
      <c r="BC16" s="4">
        <v>808</v>
      </c>
      <c r="BD16" s="4">
        <v>0.751</v>
      </c>
      <c r="BE16" s="4">
        <v>0.82199999999999995</v>
      </c>
      <c r="BF16" s="4">
        <v>0.84899999999999998</v>
      </c>
      <c r="BG16" s="4">
        <v>0.70799999999999996</v>
      </c>
      <c r="BH16" s="6">
        <f t="shared" si="3"/>
        <v>0.78489764780673865</v>
      </c>
      <c r="BJ16" s="4">
        <v>0.1</v>
      </c>
      <c r="BK16" s="4">
        <v>17.100000000000001</v>
      </c>
      <c r="BL16" s="4">
        <v>0.8</v>
      </c>
      <c r="BM16" s="4">
        <f>SUM(BJ16:BL16)</f>
        <v>18.000000000000004</v>
      </c>
      <c r="BN16" s="4" t="s">
        <v>31</v>
      </c>
    </row>
    <row r="18" spans="2:68">
      <c r="C18" s="7"/>
      <c r="T18" s="7"/>
      <c r="AK18" s="7"/>
      <c r="BB18" s="7"/>
    </row>
    <row r="19" spans="2:68">
      <c r="B19" t="s">
        <v>36</v>
      </c>
      <c r="C19" s="14" t="s">
        <v>43</v>
      </c>
      <c r="F19" t="s">
        <v>50</v>
      </c>
      <c r="S19" t="s">
        <v>36</v>
      </c>
      <c r="T19" s="14" t="s">
        <v>43</v>
      </c>
      <c r="W19" t="s">
        <v>50</v>
      </c>
      <c r="AJ19" t="s">
        <v>36</v>
      </c>
      <c r="AK19" s="14" t="s">
        <v>43</v>
      </c>
      <c r="AN19" t="s">
        <v>50</v>
      </c>
      <c r="BA19" t="s">
        <v>36</v>
      </c>
      <c r="BB19" s="14" t="s">
        <v>43</v>
      </c>
      <c r="BE19" t="s">
        <v>50</v>
      </c>
    </row>
    <row r="20" spans="2:68">
      <c r="B20" t="s">
        <v>32</v>
      </c>
      <c r="C20" s="2" t="s">
        <v>44</v>
      </c>
      <c r="K20" s="7" t="s">
        <v>15</v>
      </c>
      <c r="M20" t="s">
        <v>61</v>
      </c>
      <c r="S20" t="s">
        <v>32</v>
      </c>
      <c r="T20" s="2" t="s">
        <v>45</v>
      </c>
      <c r="AB20" s="7" t="s">
        <v>15</v>
      </c>
      <c r="AD20" t="s">
        <v>61</v>
      </c>
      <c r="AJ20" t="s">
        <v>32</v>
      </c>
      <c r="AK20" s="2" t="s">
        <v>46</v>
      </c>
      <c r="AS20" s="7" t="s">
        <v>15</v>
      </c>
      <c r="AU20" t="s">
        <v>61</v>
      </c>
      <c r="BA20" t="s">
        <v>32</v>
      </c>
      <c r="BB20" s="2" t="s">
        <v>47</v>
      </c>
      <c r="BJ20" s="7" t="s">
        <v>15</v>
      </c>
      <c r="BL20" t="s">
        <v>61</v>
      </c>
    </row>
    <row r="22" spans="2:68">
      <c r="B22" s="3" t="s">
        <v>3</v>
      </c>
      <c r="C22" s="3" t="s">
        <v>4</v>
      </c>
      <c r="D22" s="3" t="s">
        <v>5</v>
      </c>
      <c r="E22" s="3" t="s">
        <v>6</v>
      </c>
      <c r="F22" s="3" t="s">
        <v>7</v>
      </c>
      <c r="G22" s="3" t="s">
        <v>8</v>
      </c>
      <c r="H22" s="3" t="s">
        <v>9</v>
      </c>
      <c r="I22" s="3" t="s">
        <v>10</v>
      </c>
      <c r="K22" s="3" t="s">
        <v>16</v>
      </c>
      <c r="L22" s="3" t="s">
        <v>17</v>
      </c>
      <c r="M22" s="3" t="s">
        <v>57</v>
      </c>
      <c r="N22" s="3" t="s">
        <v>19</v>
      </c>
      <c r="O22" s="3" t="s">
        <v>20</v>
      </c>
      <c r="P22" s="3" t="s">
        <v>21</v>
      </c>
      <c r="Q22" s="8" t="s">
        <v>22</v>
      </c>
      <c r="S22" s="3" t="s">
        <v>3</v>
      </c>
      <c r="T22" s="3" t="s">
        <v>4</v>
      </c>
      <c r="U22" s="3" t="s">
        <v>5</v>
      </c>
      <c r="V22" s="3" t="s">
        <v>6</v>
      </c>
      <c r="W22" s="3" t="s">
        <v>7</v>
      </c>
      <c r="X22" s="3" t="s">
        <v>8</v>
      </c>
      <c r="Y22" s="3" t="s">
        <v>9</v>
      </c>
      <c r="Z22" s="3" t="s">
        <v>10</v>
      </c>
      <c r="AB22" s="3" t="s">
        <v>16</v>
      </c>
      <c r="AC22" s="3" t="s">
        <v>17</v>
      </c>
      <c r="AD22" s="3" t="s">
        <v>57</v>
      </c>
      <c r="AE22" s="3" t="s">
        <v>19</v>
      </c>
      <c r="AF22" s="3" t="s">
        <v>20</v>
      </c>
      <c r="AG22" s="3" t="s">
        <v>21</v>
      </c>
      <c r="AH22" s="8" t="s">
        <v>22</v>
      </c>
      <c r="AJ22" s="3" t="s">
        <v>3</v>
      </c>
      <c r="AK22" s="3" t="s">
        <v>4</v>
      </c>
      <c r="AL22" s="3" t="s">
        <v>5</v>
      </c>
      <c r="AM22" s="3" t="s">
        <v>6</v>
      </c>
      <c r="AN22" s="3" t="s">
        <v>7</v>
      </c>
      <c r="AO22" s="3" t="s">
        <v>8</v>
      </c>
      <c r="AP22" s="3" t="s">
        <v>9</v>
      </c>
      <c r="AQ22" s="3" t="s">
        <v>10</v>
      </c>
      <c r="AS22" s="3" t="s">
        <v>16</v>
      </c>
      <c r="AT22" s="3" t="s">
        <v>17</v>
      </c>
      <c r="AU22" s="3" t="s">
        <v>57</v>
      </c>
      <c r="AV22" s="3" t="s">
        <v>19</v>
      </c>
      <c r="AW22" s="3" t="s">
        <v>20</v>
      </c>
      <c r="AX22" s="3" t="s">
        <v>21</v>
      </c>
      <c r="AY22" s="8" t="s">
        <v>22</v>
      </c>
      <c r="BA22" s="3" t="s">
        <v>3</v>
      </c>
      <c r="BB22" s="3" t="s">
        <v>4</v>
      </c>
      <c r="BC22" s="3" t="s">
        <v>5</v>
      </c>
      <c r="BD22" s="3" t="s">
        <v>6</v>
      </c>
      <c r="BE22" s="3" t="s">
        <v>7</v>
      </c>
      <c r="BF22" s="3" t="s">
        <v>8</v>
      </c>
      <c r="BG22" s="3" t="s">
        <v>9</v>
      </c>
      <c r="BH22" s="3" t="s">
        <v>10</v>
      </c>
      <c r="BJ22" s="3" t="s">
        <v>16</v>
      </c>
      <c r="BK22" s="3" t="s">
        <v>17</v>
      </c>
      <c r="BL22" s="3" t="s">
        <v>57</v>
      </c>
      <c r="BM22" s="3" t="s">
        <v>19</v>
      </c>
      <c r="BN22" s="3" t="s">
        <v>20</v>
      </c>
      <c r="BO22" s="3" t="s">
        <v>21</v>
      </c>
      <c r="BP22" s="8" t="s">
        <v>22</v>
      </c>
    </row>
    <row r="23" spans="2:68">
      <c r="B23" s="4" t="s">
        <v>11</v>
      </c>
      <c r="C23" s="4">
        <v>630</v>
      </c>
      <c r="D23" s="4">
        <v>10359</v>
      </c>
      <c r="E23" s="4">
        <v>0.85599999999999998</v>
      </c>
      <c r="F23" s="4">
        <v>0.88</v>
      </c>
      <c r="G23" s="4">
        <v>0.92100000000000004</v>
      </c>
      <c r="H23" s="4">
        <v>0.73899999999999999</v>
      </c>
      <c r="I23" s="6">
        <f>(2*E23*F23)/(E23+F23)</f>
        <v>0.8678341013824884</v>
      </c>
      <c r="K23" s="4">
        <v>50</v>
      </c>
      <c r="L23" s="4">
        <v>16</v>
      </c>
      <c r="M23" s="4">
        <v>0.51</v>
      </c>
      <c r="N23" s="4">
        <v>181</v>
      </c>
      <c r="O23" s="9">
        <v>9428953</v>
      </c>
      <c r="P23" s="9">
        <v>9428937</v>
      </c>
      <c r="Q23" s="10">
        <v>21.6</v>
      </c>
      <c r="S23" s="4" t="s">
        <v>11</v>
      </c>
      <c r="T23" s="4">
        <v>630</v>
      </c>
      <c r="U23" s="4">
        <v>10359</v>
      </c>
      <c r="V23" s="4">
        <v>0.85599999999999998</v>
      </c>
      <c r="W23" s="4">
        <v>0.88400000000000001</v>
      </c>
      <c r="X23" s="4">
        <v>0.92400000000000004</v>
      </c>
      <c r="Y23" s="4">
        <v>0.74099999999999999</v>
      </c>
      <c r="Z23" s="6">
        <f>(2*V23*W23)/(V23+W23)</f>
        <v>0.86977471264367823</v>
      </c>
      <c r="AB23" s="4">
        <v>50</v>
      </c>
      <c r="AC23" s="4">
        <v>16</v>
      </c>
      <c r="AD23" s="4">
        <v>0.92800000000000005</v>
      </c>
      <c r="AE23" s="4">
        <v>231</v>
      </c>
      <c r="AF23" s="9">
        <v>20055321</v>
      </c>
      <c r="AG23" s="9">
        <v>20055305</v>
      </c>
      <c r="AH23" s="10">
        <v>68.2</v>
      </c>
      <c r="AJ23" s="4" t="s">
        <v>11</v>
      </c>
      <c r="AK23" s="4">
        <v>630</v>
      </c>
      <c r="AL23" s="4">
        <v>10359</v>
      </c>
      <c r="AM23" s="4">
        <v>0.86099999999999999</v>
      </c>
      <c r="AN23" s="4">
        <v>0.876</v>
      </c>
      <c r="AO23" s="4">
        <v>0.92200000000000004</v>
      </c>
      <c r="AP23" s="4">
        <v>0.74399999999999999</v>
      </c>
      <c r="AQ23" s="6">
        <f>(2*AM23*AN23)/(AM23+AN23)</f>
        <v>0.86843523316062177</v>
      </c>
      <c r="AS23" s="4">
        <v>50</v>
      </c>
      <c r="AT23" s="4">
        <v>16</v>
      </c>
      <c r="AU23" s="4">
        <v>1.181</v>
      </c>
      <c r="AV23" s="4">
        <v>113</v>
      </c>
      <c r="AW23" s="9">
        <v>2843193</v>
      </c>
      <c r="AX23" s="9">
        <v>2843193</v>
      </c>
      <c r="AY23" s="10">
        <v>87.3</v>
      </c>
      <c r="BA23" s="4" t="s">
        <v>11</v>
      </c>
      <c r="BB23" s="4">
        <v>630</v>
      </c>
      <c r="BC23" s="4">
        <v>10359</v>
      </c>
      <c r="BD23" s="4">
        <v>0.85299999999999998</v>
      </c>
      <c r="BE23" s="4">
        <v>0.88400000000000001</v>
      </c>
      <c r="BF23" s="4">
        <v>0.91800000000000004</v>
      </c>
      <c r="BG23" s="4">
        <v>0.73399999999999999</v>
      </c>
      <c r="BH23" s="6">
        <f>(2*BD23*BE23)/(BD23+BE23)</f>
        <v>0.86822337363269997</v>
      </c>
      <c r="BJ23" s="4">
        <v>50</v>
      </c>
      <c r="BK23" s="4">
        <v>16</v>
      </c>
      <c r="BL23" s="4">
        <v>1.972</v>
      </c>
      <c r="BM23" s="4">
        <v>357</v>
      </c>
      <c r="BN23" s="9">
        <v>56877241</v>
      </c>
      <c r="BO23" s="9">
        <v>56877225</v>
      </c>
      <c r="BP23" s="10">
        <v>195.5</v>
      </c>
    </row>
    <row r="24" spans="2:68">
      <c r="B24" s="4" t="s">
        <v>12</v>
      </c>
      <c r="C24" s="4">
        <v>210</v>
      </c>
      <c r="D24" s="4">
        <v>3116</v>
      </c>
      <c r="E24" s="4">
        <v>0.83899999999999997</v>
      </c>
      <c r="F24" s="4">
        <v>0.874</v>
      </c>
      <c r="G24" s="4">
        <v>0.92500000000000004</v>
      </c>
      <c r="H24" s="4">
        <v>0.70799999999999996</v>
      </c>
      <c r="I24" s="6">
        <f t="shared" ref="I24:I26" si="4">(2*E24*F24)/(E24+F24)</f>
        <v>0.85614244016345586</v>
      </c>
      <c r="S24" s="4" t="s">
        <v>12</v>
      </c>
      <c r="T24" s="4">
        <v>210</v>
      </c>
      <c r="U24" s="4">
        <v>3116</v>
      </c>
      <c r="V24" s="4">
        <v>0.84899999999999998</v>
      </c>
      <c r="W24" s="4">
        <v>0.85899999999999999</v>
      </c>
      <c r="X24" s="4">
        <v>0.92300000000000004</v>
      </c>
      <c r="Y24" s="4">
        <v>0.70699999999999996</v>
      </c>
      <c r="Z24" s="6">
        <f t="shared" ref="Z24:Z26" si="5">(2*V24*W24)/(V24+W24)</f>
        <v>0.8539707259953162</v>
      </c>
      <c r="AJ24" s="4" t="s">
        <v>12</v>
      </c>
      <c r="AK24" s="4">
        <v>210</v>
      </c>
      <c r="AL24" s="4">
        <v>3116</v>
      </c>
      <c r="AM24" s="4">
        <v>0.84199999999999997</v>
      </c>
      <c r="AN24" s="4">
        <v>0.86399999999999999</v>
      </c>
      <c r="AO24" s="4">
        <v>0.92400000000000004</v>
      </c>
      <c r="AP24" s="4">
        <v>0.70699999999999996</v>
      </c>
      <c r="AQ24" s="6">
        <f t="shared" ref="AQ24:AQ26" si="6">(2*AM24*AN24)/(AM24+AN24)</f>
        <v>0.85285814771395063</v>
      </c>
      <c r="BA24" s="4" t="s">
        <v>12</v>
      </c>
      <c r="BB24" s="4">
        <v>210</v>
      </c>
      <c r="BC24" s="4">
        <v>3116</v>
      </c>
      <c r="BD24" s="4">
        <v>0.84799999999999998</v>
      </c>
      <c r="BE24" s="4">
        <v>0.86199999999999999</v>
      </c>
      <c r="BF24" s="4">
        <v>0.82299999999999995</v>
      </c>
      <c r="BG24" s="4">
        <v>0.70199999999999996</v>
      </c>
      <c r="BH24" s="6">
        <f t="shared" ref="BH24:BH26" si="7">(2*BD24*BE24)/(BD24+BE24)</f>
        <v>0.85494269005847945</v>
      </c>
    </row>
    <row r="25" spans="2:68" ht="42">
      <c r="B25" s="4" t="s">
        <v>13</v>
      </c>
      <c r="C25" s="4">
        <v>210</v>
      </c>
      <c r="D25" s="4">
        <v>6435</v>
      </c>
      <c r="E25" s="4">
        <v>0.96299999999999997</v>
      </c>
      <c r="F25" s="4">
        <v>0.96899999999999997</v>
      </c>
      <c r="G25" s="4">
        <v>0.99</v>
      </c>
      <c r="H25" s="4">
        <v>0.80200000000000005</v>
      </c>
      <c r="I25" s="6">
        <f t="shared" si="4"/>
        <v>0.96599068322981363</v>
      </c>
      <c r="K25" s="3" t="s">
        <v>23</v>
      </c>
      <c r="L25" s="11" t="s">
        <v>24</v>
      </c>
      <c r="M25" s="3" t="s">
        <v>25</v>
      </c>
      <c r="N25" s="11" t="s">
        <v>26</v>
      </c>
      <c r="O25" s="3" t="s">
        <v>27</v>
      </c>
      <c r="S25" s="4" t="s">
        <v>13</v>
      </c>
      <c r="T25" s="4">
        <v>210</v>
      </c>
      <c r="U25" s="4">
        <v>6435</v>
      </c>
      <c r="V25" s="4">
        <v>0.96399999999999997</v>
      </c>
      <c r="W25" s="4">
        <v>0.97199999999999998</v>
      </c>
      <c r="X25" s="4">
        <v>0.99</v>
      </c>
      <c r="Y25" s="4">
        <v>0.80400000000000005</v>
      </c>
      <c r="Z25" s="6">
        <f t="shared" si="5"/>
        <v>0.9679834710743801</v>
      </c>
      <c r="AB25" s="3" t="s">
        <v>23</v>
      </c>
      <c r="AC25" s="11" t="s">
        <v>24</v>
      </c>
      <c r="AD25" s="3" t="s">
        <v>25</v>
      </c>
      <c r="AE25" s="11" t="s">
        <v>26</v>
      </c>
      <c r="AF25" s="3" t="s">
        <v>27</v>
      </c>
      <c r="AJ25" s="4" t="s">
        <v>13</v>
      </c>
      <c r="AK25" s="4">
        <v>210</v>
      </c>
      <c r="AL25" s="4">
        <v>6435</v>
      </c>
      <c r="AM25" s="4">
        <v>0.96699999999999997</v>
      </c>
      <c r="AN25" s="4">
        <v>0.96699999999999997</v>
      </c>
      <c r="AO25" s="4">
        <v>0.99</v>
      </c>
      <c r="AP25" s="4">
        <v>0.80500000000000005</v>
      </c>
      <c r="AQ25" s="6">
        <f t="shared" si="6"/>
        <v>0.96699999999999997</v>
      </c>
      <c r="AS25" s="3" t="s">
        <v>23</v>
      </c>
      <c r="AT25" s="11" t="s">
        <v>24</v>
      </c>
      <c r="AU25" s="3" t="s">
        <v>25</v>
      </c>
      <c r="AV25" s="11" t="s">
        <v>26</v>
      </c>
      <c r="AW25" s="3" t="s">
        <v>27</v>
      </c>
      <c r="BA25" s="4" t="s">
        <v>13</v>
      </c>
      <c r="BB25" s="4">
        <v>210</v>
      </c>
      <c r="BC25" s="4">
        <v>6435</v>
      </c>
      <c r="BD25" s="4">
        <v>0.96399999999999997</v>
      </c>
      <c r="BE25" s="4">
        <v>0.97099999999999997</v>
      </c>
      <c r="BF25" s="4">
        <v>0.99</v>
      </c>
      <c r="BG25" s="4">
        <v>0.80500000000000005</v>
      </c>
      <c r="BH25" s="6">
        <f t="shared" si="7"/>
        <v>0.96748733850129198</v>
      </c>
      <c r="BJ25" s="3" t="s">
        <v>23</v>
      </c>
      <c r="BK25" s="11" t="s">
        <v>24</v>
      </c>
      <c r="BL25" s="3" t="s">
        <v>25</v>
      </c>
      <c r="BM25" s="11" t="s">
        <v>26</v>
      </c>
      <c r="BN25" s="3" t="s">
        <v>27</v>
      </c>
    </row>
    <row r="26" spans="2:68">
      <c r="B26" s="4" t="s">
        <v>14</v>
      </c>
      <c r="C26" s="4">
        <v>210</v>
      </c>
      <c r="D26" s="4">
        <v>808</v>
      </c>
      <c r="E26" s="4">
        <v>0.76700000000000002</v>
      </c>
      <c r="F26" s="4">
        <v>0.79800000000000004</v>
      </c>
      <c r="G26" s="4">
        <v>0.84799999999999998</v>
      </c>
      <c r="H26" s="4">
        <v>0.70699999999999996</v>
      </c>
      <c r="I26" s="6">
        <f t="shared" si="4"/>
        <v>0.7821929712460064</v>
      </c>
      <c r="K26" s="4">
        <v>0.1</v>
      </c>
      <c r="L26" s="4">
        <v>3.3</v>
      </c>
      <c r="M26" s="4">
        <v>1</v>
      </c>
      <c r="N26" s="4">
        <f>SUM(K26:M26)</f>
        <v>4.4000000000000004</v>
      </c>
      <c r="O26" s="4" t="s">
        <v>31</v>
      </c>
      <c r="S26" s="4" t="s">
        <v>14</v>
      </c>
      <c r="T26" s="4">
        <v>210</v>
      </c>
      <c r="U26" s="4">
        <v>808</v>
      </c>
      <c r="V26" s="4">
        <v>0.755</v>
      </c>
      <c r="W26" s="4">
        <v>0.82199999999999995</v>
      </c>
      <c r="X26" s="4">
        <v>0.85799999999999998</v>
      </c>
      <c r="Y26" s="4">
        <v>0.71099999999999997</v>
      </c>
      <c r="Z26" s="6">
        <f t="shared" si="5"/>
        <v>0.78707672796448958</v>
      </c>
      <c r="AB26" s="4">
        <v>0.1</v>
      </c>
      <c r="AC26" s="4">
        <v>7.5</v>
      </c>
      <c r="AD26" s="4">
        <v>1.1000000000000001</v>
      </c>
      <c r="AE26" s="4">
        <f>SUM(AB26:AD26)</f>
        <v>8.6999999999999993</v>
      </c>
      <c r="AF26" s="4" t="s">
        <v>31</v>
      </c>
      <c r="AJ26" s="4" t="s">
        <v>14</v>
      </c>
      <c r="AK26" s="4">
        <v>210</v>
      </c>
      <c r="AL26" s="4">
        <v>808</v>
      </c>
      <c r="AM26" s="4">
        <v>0.77600000000000002</v>
      </c>
      <c r="AN26" s="4">
        <v>0.79700000000000004</v>
      </c>
      <c r="AO26" s="4">
        <v>0.85199999999999998</v>
      </c>
      <c r="AP26" s="4">
        <v>0.71799999999999997</v>
      </c>
      <c r="AQ26" s="6">
        <f t="shared" si="6"/>
        <v>0.7863598219961857</v>
      </c>
      <c r="AS26" s="4">
        <v>0.1</v>
      </c>
      <c r="AT26" s="4">
        <v>9.1999999999999993</v>
      </c>
      <c r="AU26" s="4">
        <v>1</v>
      </c>
      <c r="AV26" s="4">
        <f>SUM(AS26:AU26)</f>
        <v>10.299999999999999</v>
      </c>
      <c r="AW26" s="4" t="s">
        <v>31</v>
      </c>
      <c r="BA26" s="4" t="s">
        <v>14</v>
      </c>
      <c r="BB26" s="4">
        <v>210</v>
      </c>
      <c r="BC26" s="4">
        <v>808</v>
      </c>
      <c r="BD26" s="4">
        <v>0.746</v>
      </c>
      <c r="BE26" s="4">
        <v>0.81799999999999995</v>
      </c>
      <c r="BF26" s="4">
        <v>0.84199999999999997</v>
      </c>
      <c r="BG26" s="4">
        <v>0.69599999999999995</v>
      </c>
      <c r="BH26" s="6">
        <f t="shared" si="7"/>
        <v>0.78034271099744246</v>
      </c>
      <c r="BJ26" s="4">
        <v>0.1</v>
      </c>
      <c r="BK26" s="4">
        <v>17.3</v>
      </c>
      <c r="BL26" s="4">
        <v>0.8</v>
      </c>
      <c r="BM26" s="4">
        <f>SUM(BJ26:BL26)</f>
        <v>18.200000000000003</v>
      </c>
      <c r="BN26" s="4" t="s">
        <v>31</v>
      </c>
    </row>
    <row r="27" spans="2:68">
      <c r="AU27" t="s">
        <v>60</v>
      </c>
    </row>
    <row r="28" spans="2:68">
      <c r="C28" s="7"/>
      <c r="T28" s="7"/>
      <c r="AK28" s="7"/>
      <c r="BB28" s="7"/>
    </row>
    <row r="29" spans="2:68">
      <c r="B29" t="s">
        <v>36</v>
      </c>
      <c r="C29" s="14" t="s">
        <v>43</v>
      </c>
      <c r="F29" t="s">
        <v>51</v>
      </c>
      <c r="S29" t="s">
        <v>36</v>
      </c>
      <c r="T29" s="14" t="s">
        <v>43</v>
      </c>
      <c r="W29" t="s">
        <v>51</v>
      </c>
      <c r="AJ29" t="s">
        <v>36</v>
      </c>
      <c r="AK29" s="14" t="s">
        <v>43</v>
      </c>
      <c r="AN29" t="s">
        <v>51</v>
      </c>
      <c r="BA29" t="s">
        <v>36</v>
      </c>
      <c r="BB29" s="14" t="s">
        <v>43</v>
      </c>
      <c r="BE29" t="s">
        <v>51</v>
      </c>
    </row>
    <row r="30" spans="2:68">
      <c r="B30" t="s">
        <v>32</v>
      </c>
      <c r="C30" s="2" t="s">
        <v>44</v>
      </c>
      <c r="K30" s="7" t="s">
        <v>15</v>
      </c>
      <c r="M30" t="s">
        <v>61</v>
      </c>
      <c r="S30" t="s">
        <v>32</v>
      </c>
      <c r="T30" s="2" t="s">
        <v>45</v>
      </c>
      <c r="AB30" s="7" t="s">
        <v>15</v>
      </c>
      <c r="AD30" t="s">
        <v>61</v>
      </c>
      <c r="AJ30" t="s">
        <v>32</v>
      </c>
      <c r="AK30" s="2" t="s">
        <v>46</v>
      </c>
      <c r="AS30" s="7" t="s">
        <v>15</v>
      </c>
      <c r="AU30" t="s">
        <v>61</v>
      </c>
      <c r="BA30" t="s">
        <v>32</v>
      </c>
      <c r="BB30" s="2" t="s">
        <v>47</v>
      </c>
      <c r="BJ30" s="7" t="s">
        <v>15</v>
      </c>
      <c r="BL30" t="s">
        <v>61</v>
      </c>
    </row>
    <row r="32" spans="2:68">
      <c r="B32" s="3" t="s">
        <v>3</v>
      </c>
      <c r="C32" s="3" t="s">
        <v>4</v>
      </c>
      <c r="D32" s="3" t="s">
        <v>5</v>
      </c>
      <c r="E32" s="3" t="s">
        <v>6</v>
      </c>
      <c r="F32" s="3" t="s">
        <v>7</v>
      </c>
      <c r="G32" s="3" t="s">
        <v>8</v>
      </c>
      <c r="H32" s="3" t="s">
        <v>9</v>
      </c>
      <c r="I32" s="3" t="s">
        <v>10</v>
      </c>
      <c r="K32" s="3" t="s">
        <v>16</v>
      </c>
      <c r="L32" s="3" t="s">
        <v>17</v>
      </c>
      <c r="M32" s="3" t="s">
        <v>57</v>
      </c>
      <c r="N32" s="3" t="s">
        <v>19</v>
      </c>
      <c r="O32" s="3" t="s">
        <v>20</v>
      </c>
      <c r="P32" s="3" t="s">
        <v>21</v>
      </c>
      <c r="Q32" s="8" t="s">
        <v>22</v>
      </c>
      <c r="S32" s="3" t="s">
        <v>3</v>
      </c>
      <c r="T32" s="3" t="s">
        <v>4</v>
      </c>
      <c r="U32" s="3" t="s">
        <v>5</v>
      </c>
      <c r="V32" s="3" t="s">
        <v>6</v>
      </c>
      <c r="W32" s="3" t="s">
        <v>7</v>
      </c>
      <c r="X32" s="3" t="s">
        <v>8</v>
      </c>
      <c r="Y32" s="3" t="s">
        <v>9</v>
      </c>
      <c r="Z32" s="3" t="s">
        <v>10</v>
      </c>
      <c r="AB32" s="3" t="s">
        <v>16</v>
      </c>
      <c r="AC32" s="3" t="s">
        <v>17</v>
      </c>
      <c r="AD32" s="3" t="s">
        <v>57</v>
      </c>
      <c r="AE32" s="3" t="s">
        <v>19</v>
      </c>
      <c r="AF32" s="3" t="s">
        <v>20</v>
      </c>
      <c r="AG32" s="3" t="s">
        <v>21</v>
      </c>
      <c r="AH32" s="8" t="s">
        <v>22</v>
      </c>
      <c r="AJ32" s="3" t="s">
        <v>3</v>
      </c>
      <c r="AK32" s="3" t="s">
        <v>4</v>
      </c>
      <c r="AL32" s="3" t="s">
        <v>5</v>
      </c>
      <c r="AM32" s="3" t="s">
        <v>6</v>
      </c>
      <c r="AN32" s="3" t="s">
        <v>7</v>
      </c>
      <c r="AO32" s="3" t="s">
        <v>8</v>
      </c>
      <c r="AP32" s="3" t="s">
        <v>9</v>
      </c>
      <c r="AQ32" s="3" t="s">
        <v>10</v>
      </c>
      <c r="AS32" s="3" t="s">
        <v>16</v>
      </c>
      <c r="AT32" s="3" t="s">
        <v>17</v>
      </c>
      <c r="AU32" s="3" t="s">
        <v>57</v>
      </c>
      <c r="AV32" s="3" t="s">
        <v>19</v>
      </c>
      <c r="AW32" s="3" t="s">
        <v>20</v>
      </c>
      <c r="AX32" s="3" t="s">
        <v>21</v>
      </c>
      <c r="AY32" s="8" t="s">
        <v>22</v>
      </c>
      <c r="BA32" s="3" t="s">
        <v>3</v>
      </c>
      <c r="BB32" s="3" t="s">
        <v>4</v>
      </c>
      <c r="BC32" s="3" t="s">
        <v>5</v>
      </c>
      <c r="BD32" s="3" t="s">
        <v>6</v>
      </c>
      <c r="BE32" s="3" t="s">
        <v>7</v>
      </c>
      <c r="BF32" s="3" t="s">
        <v>8</v>
      </c>
      <c r="BG32" s="3" t="s">
        <v>9</v>
      </c>
      <c r="BH32" s="3" t="s">
        <v>10</v>
      </c>
      <c r="BJ32" s="3" t="s">
        <v>16</v>
      </c>
      <c r="BK32" s="3" t="s">
        <v>17</v>
      </c>
      <c r="BL32" s="3" t="s">
        <v>57</v>
      </c>
      <c r="BM32" s="3" t="s">
        <v>19</v>
      </c>
      <c r="BN32" s="3" t="s">
        <v>20</v>
      </c>
      <c r="BO32" s="3" t="s">
        <v>21</v>
      </c>
      <c r="BP32" s="8" t="s">
        <v>22</v>
      </c>
    </row>
    <row r="33" spans="2:68">
      <c r="B33" s="4" t="s">
        <v>11</v>
      </c>
      <c r="C33" s="4">
        <v>630</v>
      </c>
      <c r="D33" s="4">
        <v>10359</v>
      </c>
      <c r="E33" s="4">
        <v>0.85299999999999998</v>
      </c>
      <c r="F33" s="4">
        <v>0.88900000000000001</v>
      </c>
      <c r="G33" s="4">
        <v>0.92200000000000004</v>
      </c>
      <c r="H33" s="4">
        <v>0.74199999999999999</v>
      </c>
      <c r="I33" s="6">
        <f>(2*E33*F33)/(E33+F33)</f>
        <v>0.87062801377726751</v>
      </c>
      <c r="K33" s="4">
        <v>50</v>
      </c>
      <c r="L33" s="4">
        <v>16</v>
      </c>
      <c r="M33" s="4">
        <v>0.52800000000000002</v>
      </c>
      <c r="N33" s="4">
        <v>181</v>
      </c>
      <c r="O33" s="9">
        <v>9428953</v>
      </c>
      <c r="P33" s="9">
        <v>9428937</v>
      </c>
      <c r="Q33" s="10">
        <v>21.6</v>
      </c>
      <c r="S33" s="4" t="s">
        <v>11</v>
      </c>
      <c r="T33" s="4">
        <v>630</v>
      </c>
      <c r="U33" s="4">
        <v>10359</v>
      </c>
      <c r="V33" s="4">
        <v>0.85199999999999998</v>
      </c>
      <c r="W33" s="4">
        <v>0.88</v>
      </c>
      <c r="X33" s="4">
        <v>0.91900000000000004</v>
      </c>
      <c r="Y33" s="4">
        <v>0.74099999999999999</v>
      </c>
      <c r="Z33" s="6">
        <f>(2*V33*W33)/(V33+W33)</f>
        <v>0.86577367205542721</v>
      </c>
      <c r="AB33" s="4">
        <v>50</v>
      </c>
      <c r="AC33" s="4">
        <v>16</v>
      </c>
      <c r="AD33" s="4">
        <v>0.93799999999999994</v>
      </c>
      <c r="AE33" s="4">
        <v>231</v>
      </c>
      <c r="AF33" s="9">
        <v>20055321</v>
      </c>
      <c r="AG33" s="9">
        <v>20055305</v>
      </c>
      <c r="AH33" s="10">
        <v>68.2</v>
      </c>
      <c r="AJ33" s="4" t="s">
        <v>11</v>
      </c>
      <c r="AK33" s="4">
        <v>630</v>
      </c>
      <c r="AL33" s="4">
        <v>10359</v>
      </c>
      <c r="AM33" s="4">
        <v>0.86099999999999999</v>
      </c>
      <c r="AN33" s="4">
        <v>0.88500000000000001</v>
      </c>
      <c r="AO33" s="4">
        <v>0.92300000000000004</v>
      </c>
      <c r="AP33" s="4">
        <v>0.745</v>
      </c>
      <c r="AQ33" s="6">
        <f>(2*AM33*AN33)/(AM33+AN33)</f>
        <v>0.87283505154639174</v>
      </c>
      <c r="AS33" s="4">
        <v>50</v>
      </c>
      <c r="AT33" s="4">
        <v>16</v>
      </c>
      <c r="AU33" s="4">
        <v>1.1759999999999999</v>
      </c>
      <c r="AV33" s="4">
        <v>113</v>
      </c>
      <c r="AW33" s="9">
        <v>2843193</v>
      </c>
      <c r="AX33" s="9">
        <v>2843193</v>
      </c>
      <c r="AY33" s="10">
        <v>87.3</v>
      </c>
      <c r="BA33" s="4" t="s">
        <v>11</v>
      </c>
      <c r="BB33" s="4">
        <v>630</v>
      </c>
      <c r="BC33" s="4">
        <v>10359</v>
      </c>
      <c r="BD33" s="4">
        <v>0.84599999999999997</v>
      </c>
      <c r="BE33" s="4">
        <v>0.88600000000000001</v>
      </c>
      <c r="BF33" s="4">
        <v>0.91500000000000004</v>
      </c>
      <c r="BG33" s="4">
        <v>0.73099999999999998</v>
      </c>
      <c r="BH33" s="6">
        <f>(2*BD33*BE33)/(BD33+BE33)</f>
        <v>0.86553810623556582</v>
      </c>
      <c r="BJ33" s="4">
        <v>50</v>
      </c>
      <c r="BK33" s="4">
        <v>16</v>
      </c>
      <c r="BL33" s="4">
        <v>1.9059999999999999</v>
      </c>
      <c r="BM33" s="4">
        <v>357</v>
      </c>
      <c r="BN33" s="9">
        <v>56877241</v>
      </c>
      <c r="BO33" s="9">
        <v>56877225</v>
      </c>
      <c r="BP33" s="10">
        <v>195.5</v>
      </c>
    </row>
    <row r="34" spans="2:68">
      <c r="B34" s="4" t="s">
        <v>12</v>
      </c>
      <c r="C34" s="4">
        <v>210</v>
      </c>
      <c r="D34" s="4">
        <v>3116</v>
      </c>
      <c r="E34" s="4">
        <v>0.83499999999999996</v>
      </c>
      <c r="F34" s="4">
        <v>0.88300000000000001</v>
      </c>
      <c r="G34" s="4">
        <v>0.92500000000000004</v>
      </c>
      <c r="H34" s="4">
        <v>0.70899999999999996</v>
      </c>
      <c r="I34" s="6">
        <f t="shared" ref="I34:I36" si="8">(2*E34*F34)/(E34+F34)</f>
        <v>0.85832945285215367</v>
      </c>
      <c r="S34" s="4" t="s">
        <v>12</v>
      </c>
      <c r="T34" s="4">
        <v>210</v>
      </c>
      <c r="U34" s="4">
        <v>3116</v>
      </c>
      <c r="V34" s="4">
        <v>0.84099999999999997</v>
      </c>
      <c r="W34" s="4">
        <v>0.874</v>
      </c>
      <c r="X34" s="4">
        <v>0.92500000000000004</v>
      </c>
      <c r="Y34" s="4">
        <v>0.71</v>
      </c>
      <c r="Z34" s="6">
        <f t="shared" ref="Z34:Z36" si="9">(2*V34*W34)/(V34+W34)</f>
        <v>0.85718250728862977</v>
      </c>
      <c r="AJ34" s="4" t="s">
        <v>12</v>
      </c>
      <c r="AK34" s="4">
        <v>210</v>
      </c>
      <c r="AL34" s="4">
        <v>3116</v>
      </c>
      <c r="AM34" s="4">
        <v>0.84699999999999998</v>
      </c>
      <c r="AN34" s="4">
        <v>0.96099999999999997</v>
      </c>
      <c r="AO34" s="4">
        <v>0.92600000000000005</v>
      </c>
      <c r="AP34" s="4">
        <v>0.70799999999999996</v>
      </c>
      <c r="AQ34" s="6">
        <f t="shared" ref="AQ34:AQ36" si="10">(2*AM34*AN34)/(AM34+AN34)</f>
        <v>0.90040597345132756</v>
      </c>
      <c r="BA34" s="4" t="s">
        <v>12</v>
      </c>
      <c r="BB34" s="4">
        <v>210</v>
      </c>
      <c r="BC34" s="4">
        <v>3116</v>
      </c>
      <c r="BD34" s="4">
        <v>0.84299999999999997</v>
      </c>
      <c r="BE34" s="4">
        <v>0.86499999999999999</v>
      </c>
      <c r="BF34" s="4">
        <v>0.82099999999999995</v>
      </c>
      <c r="BG34" s="4">
        <v>0.7</v>
      </c>
      <c r="BH34" s="6">
        <f t="shared" ref="BH34:BH36" si="11">(2*BD34*BE34)/(BD34+BE34)</f>
        <v>0.85385831381733013</v>
      </c>
    </row>
    <row r="35" spans="2:68" ht="42">
      <c r="B35" s="4" t="s">
        <v>13</v>
      </c>
      <c r="C35" s="4">
        <v>210</v>
      </c>
      <c r="D35" s="4">
        <v>6435</v>
      </c>
      <c r="E35" s="4">
        <v>0.96199999999999997</v>
      </c>
      <c r="F35" s="4">
        <v>0.97099999999999997</v>
      </c>
      <c r="G35" s="4">
        <v>0.99</v>
      </c>
      <c r="H35" s="4">
        <v>0.80200000000000005</v>
      </c>
      <c r="I35" s="6">
        <f t="shared" si="8"/>
        <v>0.96647904811174346</v>
      </c>
      <c r="K35" s="3" t="s">
        <v>23</v>
      </c>
      <c r="L35" s="11" t="s">
        <v>24</v>
      </c>
      <c r="M35" s="3" t="s">
        <v>25</v>
      </c>
      <c r="N35" s="11" t="s">
        <v>26</v>
      </c>
      <c r="O35" s="3" t="s">
        <v>27</v>
      </c>
      <c r="S35" s="4" t="s">
        <v>13</v>
      </c>
      <c r="T35" s="4">
        <v>210</v>
      </c>
      <c r="U35" s="4">
        <v>6435</v>
      </c>
      <c r="V35" s="4">
        <v>0.96499999999999997</v>
      </c>
      <c r="W35" s="4">
        <v>0.97199999999999998</v>
      </c>
      <c r="X35" s="4">
        <v>0.99</v>
      </c>
      <c r="Y35" s="4">
        <v>0.80500000000000005</v>
      </c>
      <c r="Z35" s="6">
        <f t="shared" si="9"/>
        <v>0.96848735157459986</v>
      </c>
      <c r="AB35" s="3" t="s">
        <v>23</v>
      </c>
      <c r="AC35" s="11" t="s">
        <v>24</v>
      </c>
      <c r="AD35" s="3" t="s">
        <v>25</v>
      </c>
      <c r="AE35" s="11" t="s">
        <v>26</v>
      </c>
      <c r="AF35" s="3" t="s">
        <v>27</v>
      </c>
      <c r="AJ35" s="4" t="s">
        <v>13</v>
      </c>
      <c r="AK35" s="4">
        <v>210</v>
      </c>
      <c r="AL35" s="4">
        <v>6435</v>
      </c>
      <c r="AM35" s="4">
        <v>0.96499999999999997</v>
      </c>
      <c r="AN35" s="4">
        <v>0.96899999999999997</v>
      </c>
      <c r="AO35" s="4">
        <v>0.99</v>
      </c>
      <c r="AP35" s="4">
        <v>0.80600000000000005</v>
      </c>
      <c r="AQ35" s="6">
        <f t="shared" si="10"/>
        <v>0.96699586349534639</v>
      </c>
      <c r="AS35" s="3" t="s">
        <v>23</v>
      </c>
      <c r="AT35" s="11" t="s">
        <v>24</v>
      </c>
      <c r="AU35" s="3" t="s">
        <v>25</v>
      </c>
      <c r="AV35" s="11" t="s">
        <v>26</v>
      </c>
      <c r="AW35" s="3" t="s">
        <v>27</v>
      </c>
      <c r="BA35" s="4" t="s">
        <v>13</v>
      </c>
      <c r="BB35" s="4">
        <v>210</v>
      </c>
      <c r="BC35" s="4">
        <v>6435</v>
      </c>
      <c r="BD35" s="4">
        <v>0.96499999999999997</v>
      </c>
      <c r="BE35" s="4">
        <v>0.96799999999999997</v>
      </c>
      <c r="BF35" s="4">
        <v>0.98899999999999999</v>
      </c>
      <c r="BG35" s="4">
        <v>0.80500000000000005</v>
      </c>
      <c r="BH35" s="6">
        <f t="shared" si="11"/>
        <v>0.96649767201241599</v>
      </c>
      <c r="BJ35" s="3" t="s">
        <v>23</v>
      </c>
      <c r="BK35" s="11" t="s">
        <v>24</v>
      </c>
      <c r="BL35" s="3" t="s">
        <v>25</v>
      </c>
      <c r="BM35" s="11" t="s">
        <v>26</v>
      </c>
      <c r="BN35" s="3" t="s">
        <v>27</v>
      </c>
    </row>
    <row r="36" spans="2:68">
      <c r="B36" s="4" t="s">
        <v>14</v>
      </c>
      <c r="C36" s="4">
        <v>210</v>
      </c>
      <c r="D36" s="4">
        <v>808</v>
      </c>
      <c r="E36" s="4">
        <v>0.76300000000000001</v>
      </c>
      <c r="F36" s="4">
        <v>0.81399999999999995</v>
      </c>
      <c r="G36" s="4">
        <v>0.85099999999999998</v>
      </c>
      <c r="H36" s="4">
        <v>0.71599999999999997</v>
      </c>
      <c r="I36" s="6">
        <f t="shared" si="8"/>
        <v>0.78767533291058978</v>
      </c>
      <c r="K36" s="4">
        <v>0.1</v>
      </c>
      <c r="L36" s="4">
        <v>3.2</v>
      </c>
      <c r="M36" s="4">
        <v>1.6</v>
      </c>
      <c r="N36" s="4">
        <f>SUM(K36:M36)</f>
        <v>4.9000000000000004</v>
      </c>
      <c r="O36" s="4" t="s">
        <v>31</v>
      </c>
      <c r="S36" s="4" t="s">
        <v>14</v>
      </c>
      <c r="T36" s="4">
        <v>210</v>
      </c>
      <c r="U36" s="4">
        <v>808</v>
      </c>
      <c r="V36" s="4">
        <v>0.749</v>
      </c>
      <c r="W36" s="4">
        <v>0.79400000000000004</v>
      </c>
      <c r="X36" s="4">
        <v>0.84199999999999997</v>
      </c>
      <c r="Y36" s="4">
        <v>0.70799999999999996</v>
      </c>
      <c r="Z36" s="6">
        <f t="shared" si="9"/>
        <v>0.77084381075826314</v>
      </c>
      <c r="AB36" s="4">
        <v>0.1</v>
      </c>
      <c r="AC36" s="4">
        <v>7.1</v>
      </c>
      <c r="AD36" s="4">
        <v>1.8</v>
      </c>
      <c r="AE36" s="4">
        <f>SUM(AB36:AD36)</f>
        <v>9</v>
      </c>
      <c r="AF36" s="4" t="s">
        <v>31</v>
      </c>
      <c r="AJ36" s="4" t="s">
        <v>14</v>
      </c>
      <c r="AK36" s="4">
        <v>210</v>
      </c>
      <c r="AL36" s="4">
        <v>808</v>
      </c>
      <c r="AM36" s="4">
        <v>0.77100000000000002</v>
      </c>
      <c r="AN36" s="4">
        <v>0.82399999999999995</v>
      </c>
      <c r="AO36" s="4">
        <v>0.85299999999999998</v>
      </c>
      <c r="AP36" s="4">
        <v>0.72</v>
      </c>
      <c r="AQ36" s="6">
        <f t="shared" si="10"/>
        <v>0.79661943573667715</v>
      </c>
      <c r="AS36" s="4">
        <v>0.1</v>
      </c>
      <c r="AT36" s="4">
        <v>9.4</v>
      </c>
      <c r="AU36" s="4">
        <v>1.3</v>
      </c>
      <c r="AV36" s="4">
        <f>SUM(AS36:AU36)</f>
        <v>10.8</v>
      </c>
      <c r="AW36" s="4" t="s">
        <v>31</v>
      </c>
      <c r="BA36" s="4" t="s">
        <v>14</v>
      </c>
      <c r="BB36" s="4">
        <v>210</v>
      </c>
      <c r="BC36" s="4">
        <v>808</v>
      </c>
      <c r="BD36" s="4">
        <v>0.73</v>
      </c>
      <c r="BE36" s="4">
        <v>0.82699999999999996</v>
      </c>
      <c r="BF36" s="4">
        <v>0.83599999999999997</v>
      </c>
      <c r="BG36" s="4">
        <v>0.69</v>
      </c>
      <c r="BH36" s="6">
        <f t="shared" si="11"/>
        <v>0.77547848426461141</v>
      </c>
      <c r="BJ36" s="4">
        <v>0.1</v>
      </c>
      <c r="BK36" s="4">
        <v>17.2</v>
      </c>
      <c r="BL36" s="4">
        <v>0.8</v>
      </c>
      <c r="BM36" s="4">
        <f>SUM(BJ36:BL36)</f>
        <v>18.100000000000001</v>
      </c>
      <c r="BN36" s="4" t="s">
        <v>31</v>
      </c>
    </row>
    <row r="41" spans="2:68">
      <c r="B41" s="3" t="s">
        <v>11</v>
      </c>
      <c r="C41" s="12" t="s">
        <v>52</v>
      </c>
      <c r="D41" s="12" t="s">
        <v>53</v>
      </c>
      <c r="F41" s="28"/>
      <c r="G41" s="7"/>
      <c r="H41" s="7"/>
      <c r="K41" s="5"/>
      <c r="L41" s="12" t="s">
        <v>52</v>
      </c>
      <c r="M41" s="12" t="s">
        <v>27</v>
      </c>
      <c r="S41" s="3" t="s">
        <v>11</v>
      </c>
      <c r="T41" s="12" t="s">
        <v>52</v>
      </c>
      <c r="U41" s="12" t="s">
        <v>53</v>
      </c>
      <c r="W41" s="28"/>
      <c r="X41" s="7"/>
      <c r="Y41" s="7"/>
      <c r="AB41" s="5"/>
      <c r="AC41" s="12" t="s">
        <v>52</v>
      </c>
      <c r="AD41" s="12" t="s">
        <v>27</v>
      </c>
      <c r="AJ41" s="3" t="s">
        <v>11</v>
      </c>
      <c r="AK41" s="12" t="s">
        <v>52</v>
      </c>
      <c r="AL41" s="12" t="s">
        <v>53</v>
      </c>
      <c r="AN41" s="28"/>
      <c r="AO41" s="7"/>
      <c r="AP41" s="7"/>
      <c r="AS41" s="5"/>
      <c r="AT41" s="12" t="s">
        <v>52</v>
      </c>
      <c r="AU41" s="12" t="s">
        <v>27</v>
      </c>
      <c r="BA41" s="3" t="s">
        <v>11</v>
      </c>
      <c r="BB41" s="12" t="s">
        <v>52</v>
      </c>
      <c r="BC41" s="12" t="s">
        <v>53</v>
      </c>
      <c r="BE41" s="28"/>
      <c r="BF41" s="7"/>
      <c r="BG41" s="7"/>
      <c r="BJ41" s="5"/>
      <c r="BK41" s="12" t="s">
        <v>52</v>
      </c>
      <c r="BL41" s="12" t="s">
        <v>27</v>
      </c>
    </row>
    <row r="42" spans="2:68" ht="28">
      <c r="B42" s="3" t="s">
        <v>6</v>
      </c>
      <c r="C42" s="6">
        <f>AVERAGE(E13,E23,E33)</f>
        <v>0.86</v>
      </c>
      <c r="D42" s="6">
        <f>STDEV(E13,E23,E33)</f>
        <v>9.6436507609929632E-3</v>
      </c>
      <c r="F42" s="28"/>
      <c r="G42" s="29"/>
      <c r="H42" s="29"/>
      <c r="K42" s="18" t="s">
        <v>54</v>
      </c>
      <c r="L42" s="19">
        <f>AVERAGE(N16,N26,N36)</f>
        <v>5.0333333333333332</v>
      </c>
      <c r="M42" s="5" t="s">
        <v>55</v>
      </c>
      <c r="S42" s="3" t="s">
        <v>6</v>
      </c>
      <c r="T42" s="6">
        <f>AVERAGE(V13,V23,V33)</f>
        <v>0.85933333333333328</v>
      </c>
      <c r="U42" s="6">
        <f>STDEV(V13,V23,V33)</f>
        <v>9.4516312525052253E-3</v>
      </c>
      <c r="W42" s="28"/>
      <c r="X42" s="29"/>
      <c r="Y42" s="29"/>
      <c r="AB42" s="18" t="s">
        <v>54</v>
      </c>
      <c r="AC42" s="19">
        <f>AVERAGE(AE16,AE26,AE36)</f>
        <v>8.6</v>
      </c>
      <c r="AD42" s="5" t="s">
        <v>55</v>
      </c>
      <c r="AJ42" s="3" t="s">
        <v>6</v>
      </c>
      <c r="AK42" s="6">
        <f>AVERAGE(AM13,AM23,AM33)</f>
        <v>0.86033333333333328</v>
      </c>
      <c r="AL42" s="6">
        <f>STDEV(AM13,AM23,AM33)</f>
        <v>1.1547005383792527E-3</v>
      </c>
      <c r="AN42" s="28"/>
      <c r="AO42" s="29"/>
      <c r="AP42" s="29"/>
      <c r="AS42" s="18" t="s">
        <v>54</v>
      </c>
      <c r="AT42" s="19">
        <f>AVERAGE(AV16,AV26,AV36)</f>
        <v>10.366666666666665</v>
      </c>
      <c r="AU42" s="5" t="s">
        <v>55</v>
      </c>
      <c r="BA42" s="3" t="s">
        <v>6</v>
      </c>
      <c r="BB42" s="6">
        <f>AVERAGE(BD13,BD23,BD33)</f>
        <v>0.84933333333333338</v>
      </c>
      <c r="BC42" s="6">
        <f>STDEV(BD13,BD23,BD33)</f>
        <v>3.5118845842842497E-3</v>
      </c>
      <c r="BE42" s="28"/>
      <c r="BF42" s="29"/>
      <c r="BG42" s="29"/>
      <c r="BJ42" s="18" t="s">
        <v>54</v>
      </c>
      <c r="BK42" s="19">
        <f>AVERAGE(BM16,BM26,BM36)</f>
        <v>18.100000000000001</v>
      </c>
      <c r="BL42" s="5" t="s">
        <v>55</v>
      </c>
    </row>
    <row r="43" spans="2:68">
      <c r="B43" s="3" t="s">
        <v>7</v>
      </c>
      <c r="C43" s="6">
        <f>AVERAGE(F13,F23,F33)</f>
        <v>0.879</v>
      </c>
      <c r="D43" s="6">
        <f>STDEV(F13,F23,F33)</f>
        <v>1.0535653752852748E-2</v>
      </c>
      <c r="F43" s="28"/>
      <c r="G43" s="29"/>
      <c r="H43" s="29"/>
      <c r="K43" s="26" t="s">
        <v>18</v>
      </c>
      <c r="L43" s="30">
        <f>AVERAGE(M13,M23,M33)</f>
        <v>0.52400000000000002</v>
      </c>
      <c r="M43" s="5" t="s">
        <v>58</v>
      </c>
      <c r="S43" s="3" t="s">
        <v>7</v>
      </c>
      <c r="T43" s="6">
        <f>AVERAGE(W13,W23,W33)</f>
        <v>0.87733333333333341</v>
      </c>
      <c r="U43" s="6">
        <f>STDEV(W13,W23,W33)</f>
        <v>8.326663997864539E-3</v>
      </c>
      <c r="W43" s="28"/>
      <c r="X43" s="29"/>
      <c r="Y43" s="29"/>
      <c r="AB43" s="26" t="s">
        <v>18</v>
      </c>
      <c r="AC43" s="30">
        <f>AVERAGE(AD13,AD23,AD33)</f>
        <v>0.93200000000000005</v>
      </c>
      <c r="AD43" s="5" t="s">
        <v>58</v>
      </c>
      <c r="AJ43" s="3" t="s">
        <v>7</v>
      </c>
      <c r="AK43" s="6">
        <f>AVERAGE(AN13,AN23,AN33)</f>
        <v>0.8836666666666666</v>
      </c>
      <c r="AL43" s="6">
        <f>STDEV(AN13,AN23,AN33)</f>
        <v>7.0945988845975937E-3</v>
      </c>
      <c r="AN43" s="28"/>
      <c r="AO43" s="29"/>
      <c r="AP43" s="29"/>
      <c r="AS43" s="26" t="s">
        <v>18</v>
      </c>
      <c r="AT43" s="30">
        <f>AVERAGE(AU13,AU23,AU33)</f>
        <v>1.1723333333333334</v>
      </c>
      <c r="AU43" s="5" t="s">
        <v>58</v>
      </c>
      <c r="BA43" s="3" t="s">
        <v>7</v>
      </c>
      <c r="BB43" s="6">
        <f>AVERAGE(BE13,BE23,BE33)</f>
        <v>0.88666666666666671</v>
      </c>
      <c r="BC43" s="6">
        <f>STDEV(BE13,BE23,BE33)</f>
        <v>3.0550504633038962E-3</v>
      </c>
      <c r="BE43" s="28"/>
      <c r="BF43" s="29"/>
      <c r="BG43" s="29"/>
      <c r="BJ43" s="26" t="s">
        <v>18</v>
      </c>
      <c r="BK43" s="32">
        <f>AVERAGE(BL13,BL23,BL33)</f>
        <v>1.95</v>
      </c>
      <c r="BL43" s="5" t="s">
        <v>58</v>
      </c>
    </row>
    <row r="44" spans="2:68">
      <c r="B44" s="3" t="s">
        <v>8</v>
      </c>
      <c r="C44" s="21">
        <f>AVERAGE(G13,G23,G33)</f>
        <v>0.92066666666666663</v>
      </c>
      <c r="D44" s="6">
        <f>STDEV(G13,G23,G33)</f>
        <v>1.5275252316519479E-3</v>
      </c>
      <c r="F44" s="28"/>
      <c r="G44" s="29"/>
      <c r="H44" s="29"/>
      <c r="K44" s="27"/>
      <c r="L44" s="31">
        <f>L43*60</f>
        <v>31.44</v>
      </c>
      <c r="M44" s="27" t="s">
        <v>59</v>
      </c>
      <c r="S44" s="3" t="s">
        <v>8</v>
      </c>
      <c r="T44" s="21">
        <f>AVERAGE(X13,X23,X33)</f>
        <v>0.92066666666666663</v>
      </c>
      <c r="U44" s="6">
        <f>STDEV(X13,X23,X33)</f>
        <v>2.8867513459481316E-3</v>
      </c>
      <c r="W44" s="28"/>
      <c r="X44" s="29"/>
      <c r="Y44" s="29"/>
      <c r="AB44" s="27"/>
      <c r="AC44" s="31">
        <f>AC43*60</f>
        <v>55.92</v>
      </c>
      <c r="AD44" s="27" t="s">
        <v>59</v>
      </c>
      <c r="AJ44" s="3" t="s">
        <v>8</v>
      </c>
      <c r="AK44" s="21">
        <f>AVERAGE(AO13,AO23,AO33)</f>
        <v>0.92133333333333345</v>
      </c>
      <c r="AL44" s="6">
        <f>STDEV(AO13,AO23,AO33)</f>
        <v>2.0816659994661348E-3</v>
      </c>
      <c r="AN44" s="28"/>
      <c r="AO44" s="29"/>
      <c r="AP44" s="29"/>
      <c r="AS44" s="27"/>
      <c r="AT44" s="31">
        <f>AT43*60</f>
        <v>70.34</v>
      </c>
      <c r="AU44" s="27" t="s">
        <v>59</v>
      </c>
      <c r="BA44" s="3" t="s">
        <v>8</v>
      </c>
      <c r="BB44" s="21">
        <f>AVERAGE(BF13,BF23,BF33)</f>
        <v>0.91800000000000004</v>
      </c>
      <c r="BC44" s="6">
        <f>STDEV(BF13,BF23,BF33)</f>
        <v>3.0000000000000027E-3</v>
      </c>
      <c r="BE44" s="28"/>
      <c r="BF44" s="29"/>
      <c r="BG44" s="29"/>
      <c r="BJ44" s="27"/>
      <c r="BK44" s="31">
        <f>BK43*60</f>
        <v>117</v>
      </c>
      <c r="BL44" s="27" t="s">
        <v>59</v>
      </c>
    </row>
    <row r="45" spans="2:68">
      <c r="B45" s="3" t="s">
        <v>9</v>
      </c>
      <c r="C45" s="6">
        <f>AVERAGE(H13,H23,H33)</f>
        <v>0.73966666666666658</v>
      </c>
      <c r="D45" s="6">
        <f>STDEV(H13,H23,H33)</f>
        <v>2.0816659994661348E-3</v>
      </c>
      <c r="F45" s="28"/>
      <c r="G45" s="29"/>
      <c r="H45" s="29"/>
      <c r="S45" s="3" t="s">
        <v>9</v>
      </c>
      <c r="T45" s="6">
        <f>AVERAGE(Y13,Y23,Y33)</f>
        <v>0.7400000000000001</v>
      </c>
      <c r="U45" s="6">
        <f>STDEV(Y13,Y23,Y33)</f>
        <v>1.7320508075688787E-3</v>
      </c>
      <c r="W45" s="28"/>
      <c r="X45" s="29"/>
      <c r="Y45" s="29"/>
      <c r="AJ45" s="3" t="s">
        <v>9</v>
      </c>
      <c r="AK45" s="6">
        <f>AVERAGE(AP13,AP23,AP33)</f>
        <v>0.74333333333333329</v>
      </c>
      <c r="AL45" s="6">
        <f>STDEV(AP13,AP23,AP33)</f>
        <v>2.0816659994661343E-3</v>
      </c>
      <c r="AN45" s="28"/>
      <c r="AO45" s="29"/>
      <c r="AP45" s="29"/>
      <c r="BA45" s="3" t="s">
        <v>9</v>
      </c>
      <c r="BB45" s="6">
        <f>AVERAGE(BG13,BG23,BG33)</f>
        <v>0.73499999999999999</v>
      </c>
      <c r="BC45" s="6">
        <f>STDEV(BG13,BG23,BG33)</f>
        <v>4.5825756949558439E-3</v>
      </c>
      <c r="BE45" s="28"/>
      <c r="BF45" s="29"/>
      <c r="BG45" s="29"/>
    </row>
    <row r="46" spans="2:68">
      <c r="B46" s="3" t="s">
        <v>10</v>
      </c>
      <c r="C46" s="6">
        <f>AVERAGE(I13,I23,I33)</f>
        <v>0.86931984248855976</v>
      </c>
      <c r="D46" s="6">
        <f>STDEV(I13,I23,I33)</f>
        <v>1.4053949257962803E-3</v>
      </c>
      <c r="F46" s="28"/>
      <c r="G46" s="29"/>
      <c r="H46" s="29"/>
      <c r="S46" s="3" t="s">
        <v>10</v>
      </c>
      <c r="T46" s="6">
        <f>AVERAGE(Z13,Z23,Z33)</f>
        <v>0.86818241131703966</v>
      </c>
      <c r="U46" s="6">
        <f>STDEV(Z13,Z23,Z33)</f>
        <v>2.1217939634791349E-3</v>
      </c>
      <c r="W46" s="28"/>
      <c r="X46" s="29"/>
      <c r="Y46" s="29"/>
      <c r="AJ46" s="3" t="s">
        <v>10</v>
      </c>
      <c r="AK46" s="6">
        <f>AVERAGE(AQ13,AQ23,AQ33)</f>
        <v>0.87183185209692526</v>
      </c>
      <c r="AL46" s="6">
        <f>STDEV(AQ13,AQ23,AQ33)</f>
        <v>3.0225722633078606E-3</v>
      </c>
      <c r="AN46" s="28"/>
      <c r="AO46" s="29"/>
      <c r="AP46" s="29"/>
      <c r="BA46" s="3" t="s">
        <v>10</v>
      </c>
      <c r="BB46" s="6">
        <f>AVERAGE(BH13,BH23,BH33)</f>
        <v>0.86759271870632826</v>
      </c>
      <c r="BC46" s="6">
        <f>STDEV(BH13,BH23,BH33)</f>
        <v>1.8230212737919995E-3</v>
      </c>
      <c r="BE46" s="28"/>
      <c r="BF46" s="29"/>
      <c r="BG46" s="29"/>
    </row>
    <row r="75" spans="3:3">
      <c r="C75" s="25"/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C0680-4C9B-461E-A209-AC1F343F5F38}">
  <dimension ref="B1:BP75"/>
  <sheetViews>
    <sheetView zoomScale="40" zoomScaleNormal="40" workbookViewId="0">
      <selection activeCell="BB73" sqref="BB73:BC73"/>
    </sheetView>
  </sheetViews>
  <sheetFormatPr defaultRowHeight="14"/>
  <cols>
    <col min="3" max="3" width="8.5" customWidth="1"/>
    <col min="11" max="11" width="10.6640625" customWidth="1"/>
    <col min="13" max="13" width="10.4140625" customWidth="1"/>
    <col min="15" max="15" width="11.1640625" customWidth="1"/>
    <col min="16" max="16" width="10.9140625" customWidth="1"/>
    <col min="28" max="28" width="10.33203125" customWidth="1"/>
    <col min="29" max="29" width="10.33203125" bestFit="1" customWidth="1"/>
    <col min="32" max="33" width="9.9140625" bestFit="1" customWidth="1"/>
    <col min="45" max="45" width="10" customWidth="1"/>
    <col min="49" max="50" width="9.9140625" bestFit="1" customWidth="1"/>
    <col min="62" max="62" width="10.75" customWidth="1"/>
    <col min="66" max="67" width="9.9140625" bestFit="1" customWidth="1"/>
  </cols>
  <sheetData>
    <row r="1" spans="2:68" ht="45">
      <c r="B1" s="1" t="s">
        <v>64</v>
      </c>
    </row>
    <row r="9" spans="2:68">
      <c r="B9" t="s">
        <v>36</v>
      </c>
      <c r="C9" s="17" t="s">
        <v>41</v>
      </c>
      <c r="S9" t="s">
        <v>36</v>
      </c>
      <c r="T9" s="17" t="s">
        <v>41</v>
      </c>
      <c r="W9" t="s">
        <v>49</v>
      </c>
      <c r="AJ9" t="s">
        <v>36</v>
      </c>
      <c r="AK9" s="17" t="s">
        <v>41</v>
      </c>
      <c r="AN9" t="s">
        <v>49</v>
      </c>
      <c r="BA9" t="s">
        <v>36</v>
      </c>
      <c r="BB9" s="17" t="s">
        <v>41</v>
      </c>
      <c r="BE9" t="s">
        <v>49</v>
      </c>
    </row>
    <row r="10" spans="2:68">
      <c r="B10" t="s">
        <v>32</v>
      </c>
      <c r="C10" s="2" t="s">
        <v>44</v>
      </c>
      <c r="K10" s="7" t="s">
        <v>15</v>
      </c>
      <c r="M10" t="s">
        <v>61</v>
      </c>
      <c r="S10" t="s">
        <v>32</v>
      </c>
      <c r="T10" s="2" t="s">
        <v>45</v>
      </c>
      <c r="AB10" s="7" t="s">
        <v>15</v>
      </c>
      <c r="AD10" t="s">
        <v>61</v>
      </c>
      <c r="AJ10" t="s">
        <v>32</v>
      </c>
      <c r="AK10" s="2" t="s">
        <v>46</v>
      </c>
      <c r="AS10" s="7" t="s">
        <v>15</v>
      </c>
      <c r="AU10" t="s">
        <v>61</v>
      </c>
      <c r="BA10" t="s">
        <v>32</v>
      </c>
      <c r="BB10" s="2" t="s">
        <v>47</v>
      </c>
      <c r="BJ10" s="7" t="s">
        <v>15</v>
      </c>
      <c r="BL10" t="s">
        <v>61</v>
      </c>
    </row>
    <row r="12" spans="2:68">
      <c r="B12" s="3" t="s">
        <v>3</v>
      </c>
      <c r="C12" s="3" t="s">
        <v>4</v>
      </c>
      <c r="D12" s="3" t="s">
        <v>5</v>
      </c>
      <c r="E12" s="3" t="s">
        <v>6</v>
      </c>
      <c r="F12" s="3" t="s">
        <v>7</v>
      </c>
      <c r="G12" s="3" t="s">
        <v>8</v>
      </c>
      <c r="H12" s="3" t="s">
        <v>9</v>
      </c>
      <c r="I12" s="3" t="s">
        <v>10</v>
      </c>
      <c r="K12" s="3" t="s">
        <v>16</v>
      </c>
      <c r="L12" s="3" t="s">
        <v>17</v>
      </c>
      <c r="M12" s="3" t="s">
        <v>57</v>
      </c>
      <c r="N12" s="3" t="s">
        <v>19</v>
      </c>
      <c r="O12" s="3" t="s">
        <v>20</v>
      </c>
      <c r="P12" s="3" t="s">
        <v>21</v>
      </c>
      <c r="Q12" s="8" t="s">
        <v>22</v>
      </c>
      <c r="S12" s="3" t="s">
        <v>3</v>
      </c>
      <c r="T12" s="3" t="s">
        <v>4</v>
      </c>
      <c r="U12" s="3" t="s">
        <v>5</v>
      </c>
      <c r="V12" s="3" t="s">
        <v>6</v>
      </c>
      <c r="W12" s="3" t="s">
        <v>7</v>
      </c>
      <c r="X12" s="3" t="s">
        <v>8</v>
      </c>
      <c r="Y12" s="3" t="s">
        <v>9</v>
      </c>
      <c r="Z12" s="3" t="s">
        <v>10</v>
      </c>
      <c r="AB12" s="3" t="s">
        <v>16</v>
      </c>
      <c r="AC12" s="3" t="s">
        <v>17</v>
      </c>
      <c r="AD12" s="3" t="s">
        <v>57</v>
      </c>
      <c r="AE12" s="3" t="s">
        <v>19</v>
      </c>
      <c r="AF12" s="3" t="s">
        <v>20</v>
      </c>
      <c r="AG12" s="3" t="s">
        <v>21</v>
      </c>
      <c r="AH12" s="8" t="s">
        <v>22</v>
      </c>
      <c r="AJ12" s="3" t="s">
        <v>3</v>
      </c>
      <c r="AK12" s="3" t="s">
        <v>4</v>
      </c>
      <c r="AL12" s="3" t="s">
        <v>5</v>
      </c>
      <c r="AM12" s="3" t="s">
        <v>6</v>
      </c>
      <c r="AN12" s="3" t="s">
        <v>7</v>
      </c>
      <c r="AO12" s="3" t="s">
        <v>8</v>
      </c>
      <c r="AP12" s="3" t="s">
        <v>9</v>
      </c>
      <c r="AQ12" s="3" t="s">
        <v>10</v>
      </c>
      <c r="AS12" s="3" t="s">
        <v>16</v>
      </c>
      <c r="AT12" s="3" t="s">
        <v>17</v>
      </c>
      <c r="AU12" s="3" t="s">
        <v>57</v>
      </c>
      <c r="AV12" s="3" t="s">
        <v>19</v>
      </c>
      <c r="AW12" s="3" t="s">
        <v>20</v>
      </c>
      <c r="AX12" s="3" t="s">
        <v>21</v>
      </c>
      <c r="AY12" s="8" t="s">
        <v>22</v>
      </c>
      <c r="BA12" s="3" t="s">
        <v>3</v>
      </c>
      <c r="BB12" s="3" t="s">
        <v>4</v>
      </c>
      <c r="BC12" s="3" t="s">
        <v>5</v>
      </c>
      <c r="BD12" s="3" t="s">
        <v>6</v>
      </c>
      <c r="BE12" s="3" t="s">
        <v>7</v>
      </c>
      <c r="BF12" s="3" t="s">
        <v>8</v>
      </c>
      <c r="BG12" s="3" t="s">
        <v>9</v>
      </c>
      <c r="BH12" s="3" t="s">
        <v>10</v>
      </c>
      <c r="BJ12" s="3" t="s">
        <v>16</v>
      </c>
      <c r="BK12" s="3" t="s">
        <v>17</v>
      </c>
      <c r="BL12" s="3" t="s">
        <v>57</v>
      </c>
      <c r="BM12" s="3" t="s">
        <v>19</v>
      </c>
      <c r="BN12" s="3" t="s">
        <v>20</v>
      </c>
      <c r="BO12" s="3" t="s">
        <v>21</v>
      </c>
      <c r="BP12" s="8" t="s">
        <v>22</v>
      </c>
    </row>
    <row r="13" spans="2:68">
      <c r="B13" s="4" t="s">
        <v>11</v>
      </c>
      <c r="C13" s="4">
        <v>630</v>
      </c>
      <c r="D13" s="4">
        <v>10552</v>
      </c>
      <c r="E13" s="4">
        <v>0.89200000000000002</v>
      </c>
      <c r="F13" s="4">
        <v>0.92200000000000004</v>
      </c>
      <c r="G13" s="4">
        <v>0.95699999999999996</v>
      </c>
      <c r="H13" s="4">
        <v>0.82699999999999996</v>
      </c>
      <c r="I13" s="6">
        <f>(2*E13*F13)/(E13+F13)</f>
        <v>0.90675192943770677</v>
      </c>
      <c r="K13" s="4">
        <v>50</v>
      </c>
      <c r="L13" s="4">
        <v>16</v>
      </c>
      <c r="M13" s="4">
        <v>0.75600000000000001</v>
      </c>
      <c r="N13" s="4">
        <v>203</v>
      </c>
      <c r="O13" s="9">
        <v>10083449</v>
      </c>
      <c r="P13" s="9">
        <v>10083433</v>
      </c>
      <c r="Q13" s="10">
        <v>33.1</v>
      </c>
      <c r="S13" s="4" t="s">
        <v>11</v>
      </c>
      <c r="T13" s="4">
        <v>630</v>
      </c>
      <c r="U13" s="4">
        <v>10552</v>
      </c>
      <c r="V13" s="4">
        <v>0.90300000000000002</v>
      </c>
      <c r="W13" s="4">
        <v>0.91600000000000004</v>
      </c>
      <c r="X13" s="4">
        <v>0.95699999999999996</v>
      </c>
      <c r="Y13" s="4">
        <v>0.83199999999999996</v>
      </c>
      <c r="Z13" s="6">
        <f>(2*V13*W13)/(V13+W13)</f>
        <v>0.90945354590434324</v>
      </c>
      <c r="AB13" s="4">
        <v>50</v>
      </c>
      <c r="AC13" s="4">
        <v>16</v>
      </c>
      <c r="AD13" s="4">
        <v>1.29</v>
      </c>
      <c r="AE13" s="4">
        <v>253</v>
      </c>
      <c r="AF13" s="9">
        <v>22361529</v>
      </c>
      <c r="AG13" s="9">
        <v>22361513</v>
      </c>
      <c r="AH13" s="10">
        <v>113.5</v>
      </c>
      <c r="AJ13" s="4" t="s">
        <v>11</v>
      </c>
      <c r="AK13" s="4">
        <v>630</v>
      </c>
      <c r="AL13" s="4">
        <v>10552</v>
      </c>
      <c r="AM13" s="4">
        <v>0.89100000000000001</v>
      </c>
      <c r="AN13" s="4">
        <v>0.92100000000000004</v>
      </c>
      <c r="AO13" s="4">
        <v>0.95599999999999996</v>
      </c>
      <c r="AP13" s="4">
        <v>0.82799999999999996</v>
      </c>
      <c r="AQ13" s="6">
        <f>(2*AM13*AN13)/(AM13+AN13)</f>
        <v>0.90575165562913917</v>
      </c>
      <c r="AS13" s="4">
        <v>50</v>
      </c>
      <c r="AT13" s="4">
        <v>16</v>
      </c>
      <c r="AU13" s="4">
        <v>2.5489999999999999</v>
      </c>
      <c r="AV13" s="4">
        <v>379</v>
      </c>
      <c r="AW13" s="9">
        <v>27619001</v>
      </c>
      <c r="AX13" s="9">
        <v>27618985</v>
      </c>
      <c r="AY13" s="10">
        <v>132.6</v>
      </c>
      <c r="BA13" s="4" t="s">
        <v>11</v>
      </c>
      <c r="BB13" s="4">
        <v>630</v>
      </c>
      <c r="BC13" s="4">
        <v>10552</v>
      </c>
      <c r="BD13" s="4">
        <v>0.89900000000000002</v>
      </c>
      <c r="BE13" s="4">
        <v>0.92200000000000004</v>
      </c>
      <c r="BF13" s="4">
        <v>0.95499999999999996</v>
      </c>
      <c r="BG13" s="4">
        <v>0.82699999999999996</v>
      </c>
      <c r="BH13" s="6">
        <f>(2*BD13*BE13)/(BD13+BE13)</f>
        <v>0.91035475013728717</v>
      </c>
      <c r="BJ13" s="4">
        <v>50</v>
      </c>
      <c r="BK13" s="4">
        <v>16</v>
      </c>
      <c r="BL13" s="4">
        <v>2.468</v>
      </c>
      <c r="BM13" s="4">
        <v>379</v>
      </c>
      <c r="BN13" s="9">
        <v>62053721</v>
      </c>
      <c r="BO13" s="9">
        <v>62053705</v>
      </c>
      <c r="BP13" s="10">
        <v>297</v>
      </c>
    </row>
    <row r="14" spans="2:68">
      <c r="B14" s="4" t="s">
        <v>12</v>
      </c>
      <c r="C14" s="4">
        <v>210</v>
      </c>
      <c r="D14" s="4">
        <v>3346</v>
      </c>
      <c r="E14" s="4">
        <v>0.873</v>
      </c>
      <c r="F14" s="4">
        <v>0.88900000000000001</v>
      </c>
      <c r="G14" s="4">
        <v>0.94899999999999995</v>
      </c>
      <c r="H14" s="4">
        <v>0.82199999999999995</v>
      </c>
      <c r="I14" s="6">
        <f t="shared" ref="I14:I16" si="0">(2*E14*F14)/(E14+F14)</f>
        <v>0.88092735527809307</v>
      </c>
      <c r="S14" s="4" t="s">
        <v>12</v>
      </c>
      <c r="T14" s="4">
        <v>210</v>
      </c>
      <c r="U14" s="4">
        <v>3346</v>
      </c>
      <c r="V14" s="4">
        <v>0.89800000000000002</v>
      </c>
      <c r="W14" s="4">
        <v>0.871</v>
      </c>
      <c r="X14" s="4">
        <v>0.95099999999999996</v>
      </c>
      <c r="Y14" s="4">
        <v>0.82599999999999996</v>
      </c>
      <c r="Z14" s="6">
        <f t="shared" ref="Z14:Z16" si="1">(2*V14*W14)/(V14+W14)</f>
        <v>0.88429395138496325</v>
      </c>
      <c r="AJ14" s="4" t="s">
        <v>12</v>
      </c>
      <c r="AK14" s="4">
        <v>210</v>
      </c>
      <c r="AL14" s="4">
        <v>3346</v>
      </c>
      <c r="AM14" s="4">
        <v>0.876</v>
      </c>
      <c r="AN14" s="4">
        <v>0.88600000000000001</v>
      </c>
      <c r="AO14" s="4">
        <v>0.94899999999999995</v>
      </c>
      <c r="AP14" s="4">
        <v>0.81699999999999995</v>
      </c>
      <c r="AQ14" s="6">
        <f t="shared" ref="AQ14:AQ16" si="2">(2*AM14*AN14)/(AM14+AN14)</f>
        <v>0.88097162315550515</v>
      </c>
      <c r="BA14" s="4" t="s">
        <v>12</v>
      </c>
      <c r="BB14" s="4">
        <v>210</v>
      </c>
      <c r="BC14" s="4">
        <v>3346</v>
      </c>
      <c r="BD14" s="4">
        <v>0.89300000000000002</v>
      </c>
      <c r="BE14" s="4">
        <v>0.88200000000000001</v>
      </c>
      <c r="BF14" s="4">
        <v>0.95199999999999996</v>
      </c>
      <c r="BG14" s="4">
        <v>0.82499999999999996</v>
      </c>
      <c r="BH14" s="6">
        <f t="shared" ref="BH14:BH16" si="3">(2*BD14*BE14)/(BD14+BE14)</f>
        <v>0.88746591549295784</v>
      </c>
    </row>
    <row r="15" spans="2:68" ht="42">
      <c r="B15" s="4" t="s">
        <v>13</v>
      </c>
      <c r="C15" s="4">
        <v>210</v>
      </c>
      <c r="D15" s="4">
        <v>6442</v>
      </c>
      <c r="E15" s="4">
        <v>0.96499999999999997</v>
      </c>
      <c r="F15" s="4">
        <v>0.96599999999999997</v>
      </c>
      <c r="G15" s="4">
        <v>0.99</v>
      </c>
      <c r="H15" s="4">
        <v>0.80700000000000005</v>
      </c>
      <c r="I15" s="6">
        <f t="shared" si="0"/>
        <v>0.9654997410668047</v>
      </c>
      <c r="K15" s="3" t="s">
        <v>23</v>
      </c>
      <c r="L15" s="11" t="s">
        <v>24</v>
      </c>
      <c r="M15" s="3" t="s">
        <v>25</v>
      </c>
      <c r="N15" s="11" t="s">
        <v>26</v>
      </c>
      <c r="O15" s="3" t="s">
        <v>27</v>
      </c>
      <c r="S15" s="4" t="s">
        <v>13</v>
      </c>
      <c r="T15" s="4">
        <v>210</v>
      </c>
      <c r="U15" s="4">
        <v>6442</v>
      </c>
      <c r="V15" s="4">
        <v>0.97099999999999997</v>
      </c>
      <c r="W15" s="4">
        <v>0.96499999999999997</v>
      </c>
      <c r="X15" s="4">
        <v>0.99</v>
      </c>
      <c r="Y15" s="4">
        <v>0.81100000000000005</v>
      </c>
      <c r="Z15" s="6">
        <f t="shared" si="1"/>
        <v>0.96799070247933883</v>
      </c>
      <c r="AB15" s="3" t="s">
        <v>23</v>
      </c>
      <c r="AC15" s="11" t="s">
        <v>24</v>
      </c>
      <c r="AD15" s="3" t="s">
        <v>25</v>
      </c>
      <c r="AE15" s="11" t="s">
        <v>26</v>
      </c>
      <c r="AF15" s="3" t="s">
        <v>27</v>
      </c>
      <c r="AJ15" s="4" t="s">
        <v>13</v>
      </c>
      <c r="AK15" s="4">
        <v>210</v>
      </c>
      <c r="AL15" s="4">
        <v>6442</v>
      </c>
      <c r="AM15" s="4">
        <v>0.96599999999999997</v>
      </c>
      <c r="AN15" s="4">
        <v>0.96799999999999997</v>
      </c>
      <c r="AO15" s="4">
        <v>0.99</v>
      </c>
      <c r="AP15" s="4">
        <v>0.80800000000000005</v>
      </c>
      <c r="AQ15" s="6">
        <f t="shared" si="2"/>
        <v>0.9669989658738366</v>
      </c>
      <c r="AS15" s="3" t="s">
        <v>23</v>
      </c>
      <c r="AT15" s="11" t="s">
        <v>24</v>
      </c>
      <c r="AU15" s="3" t="s">
        <v>25</v>
      </c>
      <c r="AV15" s="11" t="s">
        <v>26</v>
      </c>
      <c r="AW15" s="3" t="s">
        <v>27</v>
      </c>
      <c r="BA15" s="4" t="s">
        <v>13</v>
      </c>
      <c r="BB15" s="4">
        <v>210</v>
      </c>
      <c r="BC15" s="4">
        <v>6442</v>
      </c>
      <c r="BD15" s="4">
        <v>0.96899999999999997</v>
      </c>
      <c r="BE15" s="4">
        <v>0.97099999999999997</v>
      </c>
      <c r="BF15" s="4">
        <v>0.99</v>
      </c>
      <c r="BG15" s="4">
        <v>0.81100000000000005</v>
      </c>
      <c r="BH15" s="6">
        <f t="shared" si="3"/>
        <v>0.96999896907216487</v>
      </c>
      <c r="BJ15" s="3" t="s">
        <v>23</v>
      </c>
      <c r="BK15" s="11" t="s">
        <v>24</v>
      </c>
      <c r="BL15" s="3" t="s">
        <v>25</v>
      </c>
      <c r="BM15" s="11" t="s">
        <v>26</v>
      </c>
      <c r="BN15" s="3" t="s">
        <v>27</v>
      </c>
    </row>
    <row r="16" spans="2:68">
      <c r="B16" s="4" t="s">
        <v>14</v>
      </c>
      <c r="C16" s="4">
        <v>210</v>
      </c>
      <c r="D16" s="4">
        <v>764</v>
      </c>
      <c r="E16" s="4">
        <v>0.83799999999999997</v>
      </c>
      <c r="F16" s="4">
        <v>0.90900000000000003</v>
      </c>
      <c r="G16" s="4">
        <v>0.93300000000000005</v>
      </c>
      <c r="H16" s="4">
        <v>0.85399999999999998</v>
      </c>
      <c r="I16" s="6">
        <f t="shared" si="0"/>
        <v>0.87205724098454507</v>
      </c>
      <c r="K16" s="4">
        <v>0.1</v>
      </c>
      <c r="L16" s="4">
        <v>3.8</v>
      </c>
      <c r="M16" s="4">
        <v>1.9</v>
      </c>
      <c r="N16" s="4">
        <f>SUM(K16:M16)</f>
        <v>5.8</v>
      </c>
      <c r="O16" s="4" t="s">
        <v>31</v>
      </c>
      <c r="S16" s="4" t="s">
        <v>14</v>
      </c>
      <c r="T16" s="4">
        <v>210</v>
      </c>
      <c r="U16" s="4">
        <v>764</v>
      </c>
      <c r="V16" s="4">
        <v>0.83899999999999997</v>
      </c>
      <c r="W16" s="4">
        <v>0.91400000000000003</v>
      </c>
      <c r="X16" s="4">
        <v>0.93100000000000005</v>
      </c>
      <c r="Y16" s="4">
        <v>0.85899999999999999</v>
      </c>
      <c r="Z16" s="6">
        <f t="shared" si="1"/>
        <v>0.87489560752994866</v>
      </c>
      <c r="AB16" s="4">
        <v>0.1</v>
      </c>
      <c r="AC16" s="4">
        <v>9.4</v>
      </c>
      <c r="AD16" s="4">
        <v>1.7</v>
      </c>
      <c r="AE16" s="4">
        <f>SUM(AB16:AD16)</f>
        <v>11.2</v>
      </c>
      <c r="AF16" s="4" t="s">
        <v>31</v>
      </c>
      <c r="AJ16" s="4" t="s">
        <v>14</v>
      </c>
      <c r="AK16" s="4">
        <v>210</v>
      </c>
      <c r="AL16" s="4">
        <v>764</v>
      </c>
      <c r="AM16" s="4">
        <v>0.83</v>
      </c>
      <c r="AN16" s="4">
        <v>0.91</v>
      </c>
      <c r="AO16" s="4">
        <v>0.93100000000000005</v>
      </c>
      <c r="AP16" s="4">
        <v>0.86</v>
      </c>
      <c r="AQ16" s="6">
        <f t="shared" si="2"/>
        <v>0.86816091954022989</v>
      </c>
      <c r="AS16" s="4">
        <v>0.2</v>
      </c>
      <c r="AT16" s="4">
        <v>11.9</v>
      </c>
      <c r="AU16" s="4">
        <v>5</v>
      </c>
      <c r="AV16" s="4">
        <f>SUM(AS16:AU16)</f>
        <v>17.100000000000001</v>
      </c>
      <c r="AW16" s="4" t="s">
        <v>31</v>
      </c>
      <c r="BA16" s="4" t="s">
        <v>14</v>
      </c>
      <c r="BB16" s="4">
        <v>210</v>
      </c>
      <c r="BC16" s="4">
        <v>764</v>
      </c>
      <c r="BD16" s="4">
        <v>0.83499999999999996</v>
      </c>
      <c r="BE16" s="4">
        <v>0.91400000000000003</v>
      </c>
      <c r="BF16" s="4">
        <v>0.92400000000000004</v>
      </c>
      <c r="BG16" s="4">
        <v>0.84499999999999997</v>
      </c>
      <c r="BH16" s="6">
        <f t="shared" si="3"/>
        <v>0.87271583762149796</v>
      </c>
      <c r="BJ16" s="4">
        <v>0.1</v>
      </c>
      <c r="BK16" s="4">
        <v>20.6</v>
      </c>
      <c r="BL16" s="4">
        <v>1.4</v>
      </c>
      <c r="BM16" s="4">
        <f>SUM(BJ16:BL16)</f>
        <v>22.1</v>
      </c>
      <c r="BN16" s="4" t="s">
        <v>31</v>
      </c>
    </row>
    <row r="18" spans="2:68">
      <c r="B18" t="s">
        <v>36</v>
      </c>
      <c r="C18" s="24" t="s">
        <v>42</v>
      </c>
      <c r="S18" t="s">
        <v>36</v>
      </c>
      <c r="T18" s="24" t="s">
        <v>42</v>
      </c>
      <c r="AJ18" t="s">
        <v>36</v>
      </c>
      <c r="AK18" s="24" t="s">
        <v>42</v>
      </c>
      <c r="BA18" t="s">
        <v>36</v>
      </c>
      <c r="BB18" s="24" t="s">
        <v>42</v>
      </c>
    </row>
    <row r="19" spans="2:68">
      <c r="B19" t="s">
        <v>32</v>
      </c>
      <c r="C19" s="2" t="s">
        <v>44</v>
      </c>
      <c r="S19" t="s">
        <v>32</v>
      </c>
      <c r="T19" s="2" t="s">
        <v>45</v>
      </c>
      <c r="AJ19" t="s">
        <v>32</v>
      </c>
      <c r="AK19" s="2" t="s">
        <v>46</v>
      </c>
      <c r="BA19" t="s">
        <v>32</v>
      </c>
      <c r="BB19" s="2" t="s">
        <v>47</v>
      </c>
    </row>
    <row r="21" spans="2:68">
      <c r="B21" s="3" t="s">
        <v>3</v>
      </c>
      <c r="C21" s="3" t="s">
        <v>4</v>
      </c>
      <c r="D21" s="3" t="s">
        <v>5</v>
      </c>
      <c r="E21" s="3" t="s">
        <v>6</v>
      </c>
      <c r="F21" s="3" t="s">
        <v>7</v>
      </c>
      <c r="G21" s="3" t="s">
        <v>8</v>
      </c>
      <c r="H21" s="3" t="s">
        <v>9</v>
      </c>
      <c r="I21" s="3" t="s">
        <v>10</v>
      </c>
      <c r="S21" s="3" t="s">
        <v>3</v>
      </c>
      <c r="T21" s="3" t="s">
        <v>4</v>
      </c>
      <c r="U21" s="3" t="s">
        <v>5</v>
      </c>
      <c r="V21" s="3" t="s">
        <v>6</v>
      </c>
      <c r="W21" s="3" t="s">
        <v>7</v>
      </c>
      <c r="X21" s="3" t="s">
        <v>8</v>
      </c>
      <c r="Y21" s="3" t="s">
        <v>9</v>
      </c>
      <c r="Z21" s="3" t="s">
        <v>10</v>
      </c>
      <c r="AJ21" s="3" t="s">
        <v>3</v>
      </c>
      <c r="AK21" s="3" t="s">
        <v>4</v>
      </c>
      <c r="AL21" s="3" t="s">
        <v>5</v>
      </c>
      <c r="AM21" s="3" t="s">
        <v>6</v>
      </c>
      <c r="AN21" s="3" t="s">
        <v>7</v>
      </c>
      <c r="AO21" s="3" t="s">
        <v>8</v>
      </c>
      <c r="AP21" s="3" t="s">
        <v>9</v>
      </c>
      <c r="AQ21" s="3" t="s">
        <v>10</v>
      </c>
      <c r="BA21" s="3" t="s">
        <v>3</v>
      </c>
      <c r="BB21" s="3" t="s">
        <v>4</v>
      </c>
      <c r="BC21" s="3" t="s">
        <v>5</v>
      </c>
      <c r="BD21" s="3" t="s">
        <v>6</v>
      </c>
      <c r="BE21" s="3" t="s">
        <v>7</v>
      </c>
      <c r="BF21" s="3" t="s">
        <v>8</v>
      </c>
      <c r="BG21" s="3" t="s">
        <v>9</v>
      </c>
      <c r="BH21" s="3" t="s">
        <v>10</v>
      </c>
    </row>
    <row r="22" spans="2:68">
      <c r="B22" s="4" t="s">
        <v>11</v>
      </c>
      <c r="C22" s="4">
        <v>630</v>
      </c>
      <c r="D22" s="4">
        <v>10552</v>
      </c>
      <c r="E22" s="4">
        <v>0.85899999999999999</v>
      </c>
      <c r="F22" s="4">
        <v>0.89200000000000002</v>
      </c>
      <c r="G22" s="4">
        <v>0.91700000000000004</v>
      </c>
      <c r="H22" s="4">
        <v>0.54300000000000004</v>
      </c>
      <c r="I22" s="6">
        <f>(2*E22*F22)/(E22+F22)</f>
        <v>0.87518903483723598</v>
      </c>
      <c r="S22" s="4" t="s">
        <v>11</v>
      </c>
      <c r="T22" s="4">
        <v>630</v>
      </c>
      <c r="U22" s="4">
        <v>10552</v>
      </c>
      <c r="V22" s="4">
        <v>0.86299999999999999</v>
      </c>
      <c r="W22" s="4">
        <v>0.88400000000000001</v>
      </c>
      <c r="X22" s="4">
        <v>0.91200000000000003</v>
      </c>
      <c r="Y22" s="4">
        <v>0.54200000000000004</v>
      </c>
      <c r="Z22" s="6">
        <f>(2*V22*W22)/(V22+W22)</f>
        <v>0.87337378362907847</v>
      </c>
      <c r="AJ22" s="4" t="s">
        <v>11</v>
      </c>
      <c r="AK22" s="4">
        <v>630</v>
      </c>
      <c r="AL22" s="4">
        <v>10552</v>
      </c>
      <c r="AM22" s="4">
        <v>0.85299999999999998</v>
      </c>
      <c r="AN22" s="4">
        <v>0.88900000000000001</v>
      </c>
      <c r="AO22" s="4">
        <v>0.90900000000000003</v>
      </c>
      <c r="AP22" s="4">
        <v>0.53500000000000003</v>
      </c>
      <c r="AQ22" s="6">
        <f>(2*AM22*AN22)/(AM22+AN22)</f>
        <v>0.87062801377726751</v>
      </c>
      <c r="BA22" s="4" t="s">
        <v>11</v>
      </c>
      <c r="BB22" s="4">
        <v>630</v>
      </c>
      <c r="BC22" s="4">
        <v>10552</v>
      </c>
      <c r="BD22" s="4">
        <v>0.86199999999999999</v>
      </c>
      <c r="BE22" s="4">
        <v>0.88500000000000001</v>
      </c>
      <c r="BF22" s="4">
        <v>0.91</v>
      </c>
      <c r="BG22" s="4">
        <v>0.53</v>
      </c>
      <c r="BH22" s="6">
        <f>(2*BD22*BE22)/(BD22+BE22)</f>
        <v>0.8733485975958788</v>
      </c>
    </row>
    <row r="23" spans="2:68">
      <c r="B23" s="4" t="s">
        <v>12</v>
      </c>
      <c r="C23" s="4">
        <v>210</v>
      </c>
      <c r="D23" s="4">
        <v>3346</v>
      </c>
      <c r="E23" s="4">
        <v>0.879</v>
      </c>
      <c r="F23" s="4">
        <v>0.90100000000000002</v>
      </c>
      <c r="G23" s="4">
        <v>0.95299999999999996</v>
      </c>
      <c r="H23" s="4">
        <v>0.61899999999999999</v>
      </c>
      <c r="I23" s="6">
        <f t="shared" ref="I23:I25" si="4">(2*E23*F23)/(E23+F23)</f>
        <v>0.88986404494382021</v>
      </c>
      <c r="S23" s="4" t="s">
        <v>12</v>
      </c>
      <c r="T23" s="4">
        <v>210</v>
      </c>
      <c r="U23" s="4">
        <v>3346</v>
      </c>
      <c r="V23" s="4">
        <v>0.90400000000000003</v>
      </c>
      <c r="W23" s="4">
        <v>0.88700000000000001</v>
      </c>
      <c r="X23" s="4">
        <v>0.95699999999999996</v>
      </c>
      <c r="Y23" s="4">
        <v>0.61699999999999999</v>
      </c>
      <c r="Z23" s="6">
        <f t="shared" ref="Z23:Z25" si="5">(2*V23*W23)/(V23+W23)</f>
        <v>0.89541931881630377</v>
      </c>
      <c r="AJ23" s="4" t="s">
        <v>12</v>
      </c>
      <c r="AK23" s="4">
        <v>210</v>
      </c>
      <c r="AL23" s="4">
        <v>3346</v>
      </c>
      <c r="AM23" s="4">
        <v>0.88200000000000001</v>
      </c>
      <c r="AN23" s="4">
        <v>0.90500000000000003</v>
      </c>
      <c r="AO23" s="4">
        <v>0.95399999999999996</v>
      </c>
      <c r="AP23" s="4">
        <v>0.60499999999999998</v>
      </c>
      <c r="AQ23" s="6">
        <f t="shared" ref="AQ23:AQ25" si="6">(2*AM23*AN23)/(AM23+AN23)</f>
        <v>0.89335198656966985</v>
      </c>
      <c r="BA23" s="4" t="s">
        <v>12</v>
      </c>
      <c r="BB23" s="4">
        <v>210</v>
      </c>
      <c r="BC23" s="4">
        <v>3346</v>
      </c>
      <c r="BD23" s="4">
        <v>0.90500000000000003</v>
      </c>
      <c r="BE23" s="4">
        <v>0.89600000000000002</v>
      </c>
      <c r="BF23" s="4">
        <v>0.95799999999999996</v>
      </c>
      <c r="BG23" s="4">
        <v>0.62</v>
      </c>
      <c r="BH23" s="6">
        <f t="shared" ref="BH23:BH25" si="7">(2*BD23*BE23)/(BD23+BE23)</f>
        <v>0.90047751249305941</v>
      </c>
    </row>
    <row r="24" spans="2:68">
      <c r="B24" s="4" t="s">
        <v>13</v>
      </c>
      <c r="C24" s="4">
        <v>210</v>
      </c>
      <c r="D24" s="4">
        <v>6442</v>
      </c>
      <c r="E24" s="4">
        <v>0.90400000000000003</v>
      </c>
      <c r="F24" s="4">
        <v>0.90700000000000003</v>
      </c>
      <c r="G24" s="4">
        <v>0.92400000000000004</v>
      </c>
      <c r="H24" s="4">
        <v>0.432</v>
      </c>
      <c r="I24" s="6">
        <f t="shared" si="4"/>
        <v>0.90549751518498078</v>
      </c>
      <c r="J24" t="s">
        <v>48</v>
      </c>
      <c r="S24" s="4" t="s">
        <v>13</v>
      </c>
      <c r="T24" s="4">
        <v>210</v>
      </c>
      <c r="U24" s="4">
        <v>6442</v>
      </c>
      <c r="V24" s="4">
        <v>0.90500000000000003</v>
      </c>
      <c r="W24" s="4">
        <v>0.90300000000000002</v>
      </c>
      <c r="X24" s="4">
        <v>0.92100000000000004</v>
      </c>
      <c r="Y24" s="4">
        <v>0.439</v>
      </c>
      <c r="Z24" s="6">
        <f t="shared" si="5"/>
        <v>0.90399889380530973</v>
      </c>
      <c r="AA24" t="s">
        <v>48</v>
      </c>
      <c r="AJ24" s="4" t="s">
        <v>13</v>
      </c>
      <c r="AK24" s="4">
        <v>210</v>
      </c>
      <c r="AL24" s="4">
        <v>6442</v>
      </c>
      <c r="AM24" s="4">
        <v>0.89700000000000002</v>
      </c>
      <c r="AN24" s="4">
        <v>0.90300000000000002</v>
      </c>
      <c r="AO24" s="4">
        <v>0.91100000000000003</v>
      </c>
      <c r="AP24" s="4">
        <v>0.42899999999999999</v>
      </c>
      <c r="AQ24" s="6">
        <f t="shared" si="6"/>
        <v>0.89998999999999996</v>
      </c>
      <c r="AR24" t="s">
        <v>48</v>
      </c>
      <c r="BA24" s="4" t="s">
        <v>13</v>
      </c>
      <c r="BB24" s="4">
        <v>210</v>
      </c>
      <c r="BC24" s="4">
        <v>6442</v>
      </c>
      <c r="BD24" s="4">
        <v>0.90400000000000003</v>
      </c>
      <c r="BE24" s="4">
        <v>0.90600000000000003</v>
      </c>
      <c r="BF24" s="4">
        <v>0.92300000000000004</v>
      </c>
      <c r="BG24" s="4">
        <v>0.44600000000000001</v>
      </c>
      <c r="BH24" s="6">
        <f t="shared" si="7"/>
        <v>0.90499889502762443</v>
      </c>
      <c r="BI24" t="s">
        <v>48</v>
      </c>
    </row>
    <row r="25" spans="2:68">
      <c r="B25" s="4" t="s">
        <v>14</v>
      </c>
      <c r="C25" s="4">
        <v>210</v>
      </c>
      <c r="D25" s="4">
        <v>764</v>
      </c>
      <c r="E25" s="4">
        <v>0.79400000000000004</v>
      </c>
      <c r="F25" s="4">
        <v>0.86799999999999999</v>
      </c>
      <c r="G25" s="4">
        <v>0.873</v>
      </c>
      <c r="H25" s="4">
        <v>0.57799999999999996</v>
      </c>
      <c r="I25" s="6">
        <f t="shared" si="4"/>
        <v>0.82935258724428407</v>
      </c>
      <c r="S25" s="4" t="s">
        <v>14</v>
      </c>
      <c r="T25" s="4">
        <v>210</v>
      </c>
      <c r="U25" s="4">
        <v>764</v>
      </c>
      <c r="V25" s="4">
        <v>0.78100000000000003</v>
      </c>
      <c r="W25" s="4">
        <v>0.86099999999999999</v>
      </c>
      <c r="X25" s="4">
        <v>0.85799999999999998</v>
      </c>
      <c r="Y25" s="4">
        <v>0.56799999999999995</v>
      </c>
      <c r="Z25" s="6">
        <f t="shared" si="5"/>
        <v>0.81905115712545684</v>
      </c>
      <c r="AJ25" s="4" t="s">
        <v>14</v>
      </c>
      <c r="AK25" s="4">
        <v>210</v>
      </c>
      <c r="AL25" s="4">
        <v>764</v>
      </c>
      <c r="AM25" s="4">
        <v>0.77900000000000003</v>
      </c>
      <c r="AN25" s="4">
        <v>0.86099999999999999</v>
      </c>
      <c r="AO25" s="4">
        <v>0.86199999999999999</v>
      </c>
      <c r="AP25" s="4">
        <v>0.57099999999999995</v>
      </c>
      <c r="AQ25" s="6">
        <f t="shared" si="6"/>
        <v>0.81795000000000007</v>
      </c>
      <c r="BA25" s="4" t="s">
        <v>14</v>
      </c>
      <c r="BB25" s="4">
        <v>210</v>
      </c>
      <c r="BC25" s="4">
        <v>764</v>
      </c>
      <c r="BD25" s="4">
        <v>0.77900000000000003</v>
      </c>
      <c r="BE25" s="4">
        <v>0.85199999999999998</v>
      </c>
      <c r="BF25" s="4">
        <v>0.84799999999999998</v>
      </c>
      <c r="BG25" s="4">
        <v>0.52300000000000002</v>
      </c>
      <c r="BH25" s="6">
        <f t="shared" si="7"/>
        <v>0.81386633966891475</v>
      </c>
    </row>
    <row r="28" spans="2:68">
      <c r="B28" t="s">
        <v>36</v>
      </c>
      <c r="C28" s="17" t="s">
        <v>41</v>
      </c>
      <c r="F28" t="s">
        <v>50</v>
      </c>
      <c r="S28" t="s">
        <v>36</v>
      </c>
      <c r="T28" s="17" t="s">
        <v>41</v>
      </c>
      <c r="W28" t="s">
        <v>50</v>
      </c>
      <c r="AJ28" t="s">
        <v>36</v>
      </c>
      <c r="AK28" s="17" t="s">
        <v>41</v>
      </c>
      <c r="AN28" t="s">
        <v>50</v>
      </c>
      <c r="BA28" t="s">
        <v>36</v>
      </c>
      <c r="BB28" s="17" t="s">
        <v>41</v>
      </c>
      <c r="BE28" t="s">
        <v>50</v>
      </c>
    </row>
    <row r="29" spans="2:68">
      <c r="B29" t="s">
        <v>32</v>
      </c>
      <c r="C29" s="2" t="s">
        <v>44</v>
      </c>
      <c r="K29" s="7" t="s">
        <v>15</v>
      </c>
      <c r="M29" t="s">
        <v>61</v>
      </c>
      <c r="S29" t="s">
        <v>32</v>
      </c>
      <c r="T29" s="2" t="s">
        <v>45</v>
      </c>
      <c r="AB29" s="7" t="s">
        <v>15</v>
      </c>
      <c r="AD29" t="s">
        <v>61</v>
      </c>
      <c r="AJ29" t="s">
        <v>32</v>
      </c>
      <c r="AK29" s="2" t="s">
        <v>46</v>
      </c>
      <c r="AS29" s="7" t="s">
        <v>15</v>
      </c>
      <c r="AU29" t="s">
        <v>61</v>
      </c>
      <c r="BA29" t="s">
        <v>32</v>
      </c>
      <c r="BB29" s="2" t="s">
        <v>47</v>
      </c>
      <c r="BJ29" s="7" t="s">
        <v>15</v>
      </c>
      <c r="BL29" t="s">
        <v>61</v>
      </c>
    </row>
    <row r="31" spans="2:68">
      <c r="B31" s="3" t="s">
        <v>3</v>
      </c>
      <c r="C31" s="3" t="s">
        <v>4</v>
      </c>
      <c r="D31" s="3" t="s">
        <v>5</v>
      </c>
      <c r="E31" s="3" t="s">
        <v>6</v>
      </c>
      <c r="F31" s="3" t="s">
        <v>7</v>
      </c>
      <c r="G31" s="3" t="s">
        <v>8</v>
      </c>
      <c r="H31" s="3" t="s">
        <v>9</v>
      </c>
      <c r="I31" s="3" t="s">
        <v>10</v>
      </c>
      <c r="K31" s="3" t="s">
        <v>16</v>
      </c>
      <c r="L31" s="3" t="s">
        <v>17</v>
      </c>
      <c r="M31" s="3" t="s">
        <v>57</v>
      </c>
      <c r="N31" s="3" t="s">
        <v>19</v>
      </c>
      <c r="O31" s="3" t="s">
        <v>20</v>
      </c>
      <c r="P31" s="3" t="s">
        <v>21</v>
      </c>
      <c r="Q31" s="8" t="s">
        <v>22</v>
      </c>
      <c r="S31" s="3" t="s">
        <v>3</v>
      </c>
      <c r="T31" s="3" t="s">
        <v>4</v>
      </c>
      <c r="U31" s="3" t="s">
        <v>5</v>
      </c>
      <c r="V31" s="3" t="s">
        <v>6</v>
      </c>
      <c r="W31" s="3" t="s">
        <v>7</v>
      </c>
      <c r="X31" s="3" t="s">
        <v>8</v>
      </c>
      <c r="Y31" s="3" t="s">
        <v>9</v>
      </c>
      <c r="Z31" s="3" t="s">
        <v>10</v>
      </c>
      <c r="AB31" s="3" t="s">
        <v>16</v>
      </c>
      <c r="AC31" s="3" t="s">
        <v>17</v>
      </c>
      <c r="AD31" s="3" t="s">
        <v>57</v>
      </c>
      <c r="AE31" s="3" t="s">
        <v>19</v>
      </c>
      <c r="AF31" s="3" t="s">
        <v>20</v>
      </c>
      <c r="AG31" s="3" t="s">
        <v>21</v>
      </c>
      <c r="AH31" s="8" t="s">
        <v>22</v>
      </c>
      <c r="AJ31" s="3" t="s">
        <v>3</v>
      </c>
      <c r="AK31" s="3" t="s">
        <v>4</v>
      </c>
      <c r="AL31" s="3" t="s">
        <v>5</v>
      </c>
      <c r="AM31" s="3" t="s">
        <v>6</v>
      </c>
      <c r="AN31" s="3" t="s">
        <v>7</v>
      </c>
      <c r="AO31" s="3" t="s">
        <v>8</v>
      </c>
      <c r="AP31" s="3" t="s">
        <v>9</v>
      </c>
      <c r="AQ31" s="3" t="s">
        <v>10</v>
      </c>
      <c r="AS31" s="3" t="s">
        <v>16</v>
      </c>
      <c r="AT31" s="3" t="s">
        <v>17</v>
      </c>
      <c r="AU31" s="3" t="s">
        <v>57</v>
      </c>
      <c r="AV31" s="3" t="s">
        <v>19</v>
      </c>
      <c r="AW31" s="3" t="s">
        <v>20</v>
      </c>
      <c r="AX31" s="3" t="s">
        <v>21</v>
      </c>
      <c r="AY31" s="8" t="s">
        <v>22</v>
      </c>
      <c r="BA31" s="3" t="s">
        <v>3</v>
      </c>
      <c r="BB31" s="3" t="s">
        <v>4</v>
      </c>
      <c r="BC31" s="3" t="s">
        <v>5</v>
      </c>
      <c r="BD31" s="3" t="s">
        <v>6</v>
      </c>
      <c r="BE31" s="3" t="s">
        <v>7</v>
      </c>
      <c r="BF31" s="3" t="s">
        <v>8</v>
      </c>
      <c r="BG31" s="3" t="s">
        <v>9</v>
      </c>
      <c r="BH31" s="3" t="s">
        <v>10</v>
      </c>
      <c r="BJ31" s="3" t="s">
        <v>16</v>
      </c>
      <c r="BK31" s="3" t="s">
        <v>17</v>
      </c>
      <c r="BL31" s="3" t="s">
        <v>57</v>
      </c>
      <c r="BM31" s="3" t="s">
        <v>19</v>
      </c>
      <c r="BN31" s="3" t="s">
        <v>20</v>
      </c>
      <c r="BO31" s="3" t="s">
        <v>21</v>
      </c>
      <c r="BP31" s="8" t="s">
        <v>22</v>
      </c>
    </row>
    <row r="32" spans="2:68">
      <c r="B32" s="4" t="s">
        <v>11</v>
      </c>
      <c r="C32" s="4">
        <v>630</v>
      </c>
      <c r="D32" s="4">
        <v>10552</v>
      </c>
      <c r="E32" s="4">
        <v>0.89300000000000002</v>
      </c>
      <c r="F32" s="4">
        <v>0.91900000000000004</v>
      </c>
      <c r="G32" s="4">
        <v>0.95699999999999996</v>
      </c>
      <c r="H32" s="4">
        <v>0.82899999999999996</v>
      </c>
      <c r="I32" s="6">
        <f>(2*E32*F32)/(E32+F32)</f>
        <v>0.90581346578366451</v>
      </c>
      <c r="K32" s="4">
        <v>50</v>
      </c>
      <c r="L32" s="4">
        <v>16</v>
      </c>
      <c r="M32" s="4">
        <v>0.77400000000000002</v>
      </c>
      <c r="N32" s="4">
        <v>203</v>
      </c>
      <c r="O32" s="9">
        <v>10083449</v>
      </c>
      <c r="P32" s="9">
        <v>10083433</v>
      </c>
      <c r="Q32" s="10">
        <v>33.1</v>
      </c>
      <c r="S32" s="4" t="s">
        <v>11</v>
      </c>
      <c r="T32" s="4">
        <v>630</v>
      </c>
      <c r="U32" s="4">
        <v>10552</v>
      </c>
      <c r="V32" s="4">
        <v>0.90800000000000003</v>
      </c>
      <c r="W32" s="4">
        <v>0.91200000000000003</v>
      </c>
      <c r="X32" s="4">
        <v>0.95699999999999996</v>
      </c>
      <c r="Y32" s="4">
        <v>0.83199999999999996</v>
      </c>
      <c r="Z32" s="6">
        <f>(2*V32*W32)/(V32+W32)</f>
        <v>0.90999560439560445</v>
      </c>
      <c r="AB32" s="4">
        <v>50</v>
      </c>
      <c r="AC32" s="4">
        <v>16</v>
      </c>
      <c r="AD32" s="4">
        <v>1.2849999999999999</v>
      </c>
      <c r="AE32" s="4">
        <v>253</v>
      </c>
      <c r="AF32" s="9">
        <v>22361529</v>
      </c>
      <c r="AG32" s="9">
        <v>22361513</v>
      </c>
      <c r="AH32" s="10">
        <v>113.5</v>
      </c>
      <c r="AJ32" s="4" t="s">
        <v>11</v>
      </c>
      <c r="AK32" s="4">
        <v>630</v>
      </c>
      <c r="AL32" s="4">
        <v>10552</v>
      </c>
      <c r="AM32" s="4">
        <v>0.89800000000000002</v>
      </c>
      <c r="AN32" s="4">
        <v>0.91800000000000004</v>
      </c>
      <c r="AO32" s="4">
        <v>0.95699999999999996</v>
      </c>
      <c r="AP32" s="4">
        <v>0.83</v>
      </c>
      <c r="AQ32" s="6">
        <f>(2*AM32*AN32)/(AM32+AN32)</f>
        <v>0.90788986784140979</v>
      </c>
      <c r="AS32" s="4">
        <v>50</v>
      </c>
      <c r="AT32" s="4">
        <v>16</v>
      </c>
      <c r="AU32" s="4">
        <v>1.5649999999999999</v>
      </c>
      <c r="AV32" s="4">
        <v>379</v>
      </c>
      <c r="AW32" s="9">
        <v>27619001</v>
      </c>
      <c r="AX32" s="9">
        <v>27618985</v>
      </c>
      <c r="AY32" s="10">
        <v>132.6</v>
      </c>
      <c r="BA32" s="4" t="s">
        <v>11</v>
      </c>
      <c r="BB32" s="4">
        <v>630</v>
      </c>
      <c r="BC32" s="4">
        <v>10552</v>
      </c>
      <c r="BD32" s="4">
        <v>0.90100000000000002</v>
      </c>
      <c r="BE32" s="4">
        <v>0.91500000000000004</v>
      </c>
      <c r="BF32" s="4">
        <v>0.95699999999999996</v>
      </c>
      <c r="BG32" s="4">
        <v>0.82899999999999996</v>
      </c>
      <c r="BH32" s="6">
        <f>(2*BD32*BE32)/(BD32+BE32)</f>
        <v>0.90794603524229078</v>
      </c>
      <c r="BJ32" s="4">
        <v>50</v>
      </c>
      <c r="BK32" s="4">
        <v>16</v>
      </c>
      <c r="BL32" s="4">
        <v>2.5489999999999999</v>
      </c>
      <c r="BM32" s="4">
        <v>379</v>
      </c>
      <c r="BN32" s="9">
        <v>62053721</v>
      </c>
      <c r="BO32" s="9">
        <v>62053705</v>
      </c>
      <c r="BP32" s="10">
        <v>297</v>
      </c>
    </row>
    <row r="33" spans="2:66">
      <c r="B33" s="4" t="s">
        <v>12</v>
      </c>
      <c r="C33" s="4">
        <v>210</v>
      </c>
      <c r="D33" s="4">
        <v>3346</v>
      </c>
      <c r="E33" s="4">
        <v>0.88400000000000001</v>
      </c>
      <c r="F33" s="4">
        <v>0.874</v>
      </c>
      <c r="G33" s="4">
        <v>0.94699999999999995</v>
      </c>
      <c r="H33" s="4">
        <v>0.82199999999999995</v>
      </c>
      <c r="I33" s="6">
        <f t="shared" ref="I33:I35" si="8">(2*E33*F33)/(E33+F33)</f>
        <v>0.87897155858930598</v>
      </c>
      <c r="S33" s="4" t="s">
        <v>12</v>
      </c>
      <c r="T33" s="4">
        <v>210</v>
      </c>
      <c r="U33" s="4">
        <v>3346</v>
      </c>
      <c r="V33" s="4">
        <v>0.89500000000000002</v>
      </c>
      <c r="W33" s="4">
        <v>0.86799999999999999</v>
      </c>
      <c r="X33" s="4">
        <v>0.95099999999999996</v>
      </c>
      <c r="Y33" s="4">
        <v>0.82899999999999996</v>
      </c>
      <c r="Z33" s="6">
        <f t="shared" ref="Z33:Z35" si="9">(2*V33*W33)/(V33+W33)</f>
        <v>0.88129325014180382</v>
      </c>
      <c r="AJ33" s="4" t="s">
        <v>12</v>
      </c>
      <c r="AK33" s="4">
        <v>210</v>
      </c>
      <c r="AL33" s="4">
        <v>3346</v>
      </c>
      <c r="AM33" s="4">
        <v>0.88700000000000001</v>
      </c>
      <c r="AN33" s="4">
        <v>0.88900000000000001</v>
      </c>
      <c r="AO33" s="4">
        <v>0.95099999999999996</v>
      </c>
      <c r="AP33" s="4">
        <v>0.82899999999999996</v>
      </c>
      <c r="AQ33" s="6">
        <f t="shared" ref="AQ33:AQ35" si="10">(2*AM33*AN33)/(AM33+AN33)</f>
        <v>0.88799887387387388</v>
      </c>
      <c r="BA33" s="4" t="s">
        <v>12</v>
      </c>
      <c r="BB33" s="4">
        <v>210</v>
      </c>
      <c r="BC33" s="4">
        <v>3346</v>
      </c>
      <c r="BD33" s="4">
        <v>0.88800000000000001</v>
      </c>
      <c r="BE33" s="4">
        <v>0.88200000000000001</v>
      </c>
      <c r="BF33" s="4">
        <v>0.95099999999999996</v>
      </c>
      <c r="BG33" s="4">
        <v>0.82699999999999996</v>
      </c>
      <c r="BH33" s="6">
        <f t="shared" ref="BH33:BH35" si="11">(2*BD33*BE33)/(BD33+BE33)</f>
        <v>0.88498983050847457</v>
      </c>
    </row>
    <row r="34" spans="2:66" ht="42">
      <c r="B34" s="4" t="s">
        <v>13</v>
      </c>
      <c r="C34" s="4">
        <v>210</v>
      </c>
      <c r="D34" s="4">
        <v>6442</v>
      </c>
      <c r="E34" s="4">
        <v>0.96799999999999997</v>
      </c>
      <c r="F34" s="4">
        <v>0.96499999999999997</v>
      </c>
      <c r="G34" s="4">
        <v>0.99</v>
      </c>
      <c r="H34" s="4">
        <v>0.80700000000000005</v>
      </c>
      <c r="I34" s="6">
        <f t="shared" si="8"/>
        <v>0.96649767201241599</v>
      </c>
      <c r="K34" s="3" t="s">
        <v>23</v>
      </c>
      <c r="L34" s="11" t="s">
        <v>24</v>
      </c>
      <c r="M34" s="3" t="s">
        <v>25</v>
      </c>
      <c r="N34" s="11" t="s">
        <v>26</v>
      </c>
      <c r="O34" s="3" t="s">
        <v>27</v>
      </c>
      <c r="S34" s="4" t="s">
        <v>13</v>
      </c>
      <c r="T34" s="4">
        <v>210</v>
      </c>
      <c r="U34" s="4">
        <v>6442</v>
      </c>
      <c r="V34" s="4">
        <v>0.97</v>
      </c>
      <c r="W34" s="4">
        <v>0.96399999999999997</v>
      </c>
      <c r="X34" s="4">
        <v>0.99</v>
      </c>
      <c r="Y34" s="4">
        <v>0.81200000000000006</v>
      </c>
      <c r="Z34" s="6">
        <f t="shared" si="9"/>
        <v>0.96699069286452943</v>
      </c>
      <c r="AB34" s="3" t="s">
        <v>23</v>
      </c>
      <c r="AC34" s="11" t="s">
        <v>24</v>
      </c>
      <c r="AD34" s="3" t="s">
        <v>25</v>
      </c>
      <c r="AE34" s="11" t="s">
        <v>26</v>
      </c>
      <c r="AF34" s="3" t="s">
        <v>27</v>
      </c>
      <c r="AJ34" s="4" t="s">
        <v>13</v>
      </c>
      <c r="AK34" s="4">
        <v>210</v>
      </c>
      <c r="AL34" s="4">
        <v>6442</v>
      </c>
      <c r="AM34" s="4">
        <v>0.96799999999999997</v>
      </c>
      <c r="AN34" s="4">
        <v>0.96799999999999997</v>
      </c>
      <c r="AO34" s="4">
        <v>0.99</v>
      </c>
      <c r="AP34" s="4">
        <v>0.81</v>
      </c>
      <c r="AQ34" s="6">
        <f t="shared" si="10"/>
        <v>0.96799999999999997</v>
      </c>
      <c r="AS34" s="3" t="s">
        <v>23</v>
      </c>
      <c r="AT34" s="11" t="s">
        <v>24</v>
      </c>
      <c r="AU34" s="3" t="s">
        <v>25</v>
      </c>
      <c r="AV34" s="11" t="s">
        <v>26</v>
      </c>
      <c r="AW34" s="3" t="s">
        <v>27</v>
      </c>
      <c r="BA34" s="4" t="s">
        <v>13</v>
      </c>
      <c r="BB34" s="4">
        <v>210</v>
      </c>
      <c r="BC34" s="4">
        <v>6442</v>
      </c>
      <c r="BD34" s="4">
        <v>0.96799999999999997</v>
      </c>
      <c r="BE34" s="4">
        <v>0.96799999999999997</v>
      </c>
      <c r="BF34" s="4">
        <v>0.99</v>
      </c>
      <c r="BG34" s="4">
        <v>0.80800000000000005</v>
      </c>
      <c r="BH34" s="6">
        <f t="shared" si="11"/>
        <v>0.96799999999999997</v>
      </c>
      <c r="BJ34" s="3" t="s">
        <v>23</v>
      </c>
      <c r="BK34" s="11" t="s">
        <v>24</v>
      </c>
      <c r="BL34" s="3" t="s">
        <v>25</v>
      </c>
      <c r="BM34" s="11" t="s">
        <v>26</v>
      </c>
      <c r="BN34" s="3" t="s">
        <v>27</v>
      </c>
    </row>
    <row r="35" spans="2:66">
      <c r="B35" s="4" t="s">
        <v>14</v>
      </c>
      <c r="C35" s="4">
        <v>210</v>
      </c>
      <c r="D35" s="4">
        <v>764</v>
      </c>
      <c r="E35" s="4">
        <v>0.82699999999999996</v>
      </c>
      <c r="F35" s="4">
        <v>0.91800000000000004</v>
      </c>
      <c r="G35" s="4">
        <v>0.93400000000000005</v>
      </c>
      <c r="H35" s="4">
        <v>0.85899999999999999</v>
      </c>
      <c r="I35" s="6">
        <f t="shared" si="8"/>
        <v>0.87012722063037251</v>
      </c>
      <c r="K35" s="4">
        <v>0.1</v>
      </c>
      <c r="L35" s="4">
        <v>3.9</v>
      </c>
      <c r="M35" s="4">
        <v>1.9</v>
      </c>
      <c r="N35" s="4">
        <f>SUM(K35:M35)</f>
        <v>5.9</v>
      </c>
      <c r="O35" s="4" t="s">
        <v>31</v>
      </c>
      <c r="S35" s="4" t="s">
        <v>14</v>
      </c>
      <c r="T35" s="4">
        <v>210</v>
      </c>
      <c r="U35" s="4">
        <v>764</v>
      </c>
      <c r="V35" s="4">
        <v>0.85899999999999999</v>
      </c>
      <c r="W35" s="4">
        <v>0.90400000000000003</v>
      </c>
      <c r="X35" s="4">
        <v>0.93200000000000005</v>
      </c>
      <c r="Y35" s="4">
        <v>0.85399999999999998</v>
      </c>
      <c r="Z35" s="6">
        <f t="shared" si="9"/>
        <v>0.88092569483834382</v>
      </c>
      <c r="AB35" s="4">
        <v>0.1</v>
      </c>
      <c r="AC35" s="4">
        <v>9.1999999999999993</v>
      </c>
      <c r="AD35" s="4">
        <v>1.7</v>
      </c>
      <c r="AE35" s="4">
        <f>SUM(AB35:AD35)</f>
        <v>10.999999999999998</v>
      </c>
      <c r="AF35" s="4" t="s">
        <v>31</v>
      </c>
      <c r="AJ35" s="4" t="s">
        <v>14</v>
      </c>
      <c r="AK35" s="4">
        <v>210</v>
      </c>
      <c r="AL35" s="4">
        <v>764</v>
      </c>
      <c r="AM35" s="4">
        <v>0.83899999999999997</v>
      </c>
      <c r="AN35" s="4">
        <v>0.89700000000000002</v>
      </c>
      <c r="AO35" s="4">
        <v>0.93100000000000005</v>
      </c>
      <c r="AP35" s="4">
        <v>0.85099999999999998</v>
      </c>
      <c r="AQ35" s="6">
        <f t="shared" si="10"/>
        <v>0.86703110599078337</v>
      </c>
      <c r="AS35" s="4">
        <v>0.1</v>
      </c>
      <c r="AT35" s="4">
        <v>11.6</v>
      </c>
      <c r="AU35" s="4">
        <v>1.8</v>
      </c>
      <c r="AV35" s="4">
        <f>SUM(AS35:AU35)</f>
        <v>13.5</v>
      </c>
      <c r="AW35" s="4" t="s">
        <v>31</v>
      </c>
      <c r="BA35" s="4" t="s">
        <v>14</v>
      </c>
      <c r="BB35" s="4">
        <v>210</v>
      </c>
      <c r="BC35" s="4">
        <v>764</v>
      </c>
      <c r="BD35" s="4">
        <v>0.84799999999999998</v>
      </c>
      <c r="BE35" s="4">
        <v>0.89500000000000002</v>
      </c>
      <c r="BF35" s="4">
        <v>0.92900000000000005</v>
      </c>
      <c r="BG35" s="4">
        <v>0.85199999999999998</v>
      </c>
      <c r="BH35" s="6">
        <f t="shared" si="11"/>
        <v>0.87086632243258755</v>
      </c>
      <c r="BJ35" s="4">
        <v>0.1</v>
      </c>
      <c r="BK35" s="4">
        <v>21.1</v>
      </c>
      <c r="BL35" s="4">
        <v>1.5</v>
      </c>
      <c r="BM35" s="4">
        <f>SUM(BJ35:BL35)</f>
        <v>22.700000000000003</v>
      </c>
      <c r="BN35" s="4" t="s">
        <v>31</v>
      </c>
    </row>
    <row r="37" spans="2:66">
      <c r="B37" t="s">
        <v>36</v>
      </c>
      <c r="C37" s="24" t="s">
        <v>42</v>
      </c>
      <c r="S37" t="s">
        <v>36</v>
      </c>
      <c r="T37" s="24" t="s">
        <v>42</v>
      </c>
      <c r="AJ37" t="s">
        <v>36</v>
      </c>
      <c r="AK37" s="24" t="s">
        <v>42</v>
      </c>
      <c r="BA37" t="s">
        <v>36</v>
      </c>
      <c r="BB37" s="24" t="s">
        <v>42</v>
      </c>
    </row>
    <row r="38" spans="2:66">
      <c r="B38" t="s">
        <v>32</v>
      </c>
      <c r="C38" s="2" t="s">
        <v>44</v>
      </c>
      <c r="S38" t="s">
        <v>32</v>
      </c>
      <c r="T38" s="2" t="s">
        <v>45</v>
      </c>
      <c r="AJ38" t="s">
        <v>32</v>
      </c>
      <c r="AK38" s="2" t="s">
        <v>46</v>
      </c>
      <c r="BA38" t="s">
        <v>32</v>
      </c>
      <c r="BB38" s="2" t="s">
        <v>47</v>
      </c>
    </row>
    <row r="40" spans="2:66">
      <c r="B40" s="3" t="s">
        <v>3</v>
      </c>
      <c r="C40" s="3" t="s">
        <v>4</v>
      </c>
      <c r="D40" s="3" t="s">
        <v>5</v>
      </c>
      <c r="E40" s="3" t="s">
        <v>6</v>
      </c>
      <c r="F40" s="3" t="s">
        <v>7</v>
      </c>
      <c r="G40" s="3" t="s">
        <v>8</v>
      </c>
      <c r="H40" s="3" t="s">
        <v>9</v>
      </c>
      <c r="I40" s="3" t="s">
        <v>10</v>
      </c>
      <c r="S40" s="3" t="s">
        <v>3</v>
      </c>
      <c r="T40" s="3" t="s">
        <v>4</v>
      </c>
      <c r="U40" s="3" t="s">
        <v>5</v>
      </c>
      <c r="V40" s="3" t="s">
        <v>6</v>
      </c>
      <c r="W40" s="3" t="s">
        <v>7</v>
      </c>
      <c r="X40" s="3" t="s">
        <v>8</v>
      </c>
      <c r="Y40" s="3" t="s">
        <v>9</v>
      </c>
      <c r="Z40" s="3" t="s">
        <v>10</v>
      </c>
      <c r="AJ40" s="3" t="s">
        <v>3</v>
      </c>
      <c r="AK40" s="3" t="s">
        <v>4</v>
      </c>
      <c r="AL40" s="3" t="s">
        <v>5</v>
      </c>
      <c r="AM40" s="3" t="s">
        <v>6</v>
      </c>
      <c r="AN40" s="3" t="s">
        <v>7</v>
      </c>
      <c r="AO40" s="3" t="s">
        <v>8</v>
      </c>
      <c r="AP40" s="3" t="s">
        <v>9</v>
      </c>
      <c r="AQ40" s="3" t="s">
        <v>10</v>
      </c>
      <c r="BA40" s="3" t="s">
        <v>3</v>
      </c>
      <c r="BB40" s="3" t="s">
        <v>4</v>
      </c>
      <c r="BC40" s="3" t="s">
        <v>5</v>
      </c>
      <c r="BD40" s="3" t="s">
        <v>6</v>
      </c>
      <c r="BE40" s="3" t="s">
        <v>7</v>
      </c>
      <c r="BF40" s="3" t="s">
        <v>8</v>
      </c>
      <c r="BG40" s="3" t="s">
        <v>9</v>
      </c>
      <c r="BH40" s="3" t="s">
        <v>10</v>
      </c>
    </row>
    <row r="41" spans="2:66">
      <c r="B41" s="4" t="s">
        <v>11</v>
      </c>
      <c r="C41" s="4">
        <v>630</v>
      </c>
      <c r="D41" s="4">
        <v>10552</v>
      </c>
      <c r="E41" s="4">
        <v>0.86199999999999999</v>
      </c>
      <c r="F41" s="4">
        <v>0.88300000000000001</v>
      </c>
      <c r="G41" s="4">
        <v>0.92100000000000004</v>
      </c>
      <c r="H41" s="4">
        <v>0.54600000000000004</v>
      </c>
      <c r="I41" s="6">
        <f>(2*E41*F41)/(E41+F41)</f>
        <v>0.8723736389684813</v>
      </c>
      <c r="S41" s="4" t="s">
        <v>11</v>
      </c>
      <c r="T41" s="4">
        <v>630</v>
      </c>
      <c r="U41" s="4">
        <v>10552</v>
      </c>
      <c r="V41" s="4">
        <v>0.874</v>
      </c>
      <c r="W41" s="4">
        <v>0.878</v>
      </c>
      <c r="X41" s="4">
        <v>0.91200000000000003</v>
      </c>
      <c r="Y41" s="4">
        <v>0.53700000000000003</v>
      </c>
      <c r="Z41" s="6">
        <f>(2*V41*W41)/(V41+W41)</f>
        <v>0.87599543378995437</v>
      </c>
      <c r="AJ41" s="4" t="s">
        <v>11</v>
      </c>
      <c r="AK41" s="4">
        <v>630</v>
      </c>
      <c r="AL41" s="4">
        <v>10552</v>
      </c>
      <c r="AM41" s="4">
        <v>0.86299999999999999</v>
      </c>
      <c r="AN41" s="4">
        <v>0.88300000000000001</v>
      </c>
      <c r="AO41" s="4">
        <v>0.91</v>
      </c>
      <c r="AP41" s="4">
        <v>0.53600000000000003</v>
      </c>
      <c r="AQ41" s="6">
        <f>(2*AM41*AN41)/(AM41+AN41)</f>
        <v>0.87288545246277205</v>
      </c>
      <c r="BA41" s="4" t="s">
        <v>11</v>
      </c>
      <c r="BB41" s="4">
        <v>630</v>
      </c>
      <c r="BC41" s="4">
        <v>10552</v>
      </c>
      <c r="BD41" s="4">
        <v>0.86499999999999999</v>
      </c>
      <c r="BE41" s="4">
        <v>0.876</v>
      </c>
      <c r="BF41" s="4">
        <v>0.90800000000000003</v>
      </c>
      <c r="BG41" s="4">
        <v>0.52900000000000003</v>
      </c>
      <c r="BH41" s="6">
        <f>(2*BD41*BE41)/(BD41+BE41)</f>
        <v>0.87046524985640428</v>
      </c>
    </row>
    <row r="42" spans="2:66">
      <c r="B42" s="4" t="s">
        <v>12</v>
      </c>
      <c r="C42" s="4">
        <v>210</v>
      </c>
      <c r="D42" s="4">
        <v>3346</v>
      </c>
      <c r="E42" s="4">
        <v>0.89300000000000002</v>
      </c>
      <c r="F42" s="4">
        <v>0.879</v>
      </c>
      <c r="G42" s="4">
        <v>0.95199999999999996</v>
      </c>
      <c r="H42" s="4">
        <v>0.61699999999999999</v>
      </c>
      <c r="I42" s="6">
        <f t="shared" ref="I42:I44" si="12">(2*E42*F42)/(E42+F42)</f>
        <v>0.88594469525959374</v>
      </c>
      <c r="S42" s="4" t="s">
        <v>12</v>
      </c>
      <c r="T42" s="4">
        <v>210</v>
      </c>
      <c r="U42" s="4">
        <v>3346</v>
      </c>
      <c r="V42" s="4">
        <v>0.90400000000000003</v>
      </c>
      <c r="W42" s="4">
        <v>0.878</v>
      </c>
      <c r="X42" s="4">
        <v>0.95499999999999996</v>
      </c>
      <c r="Y42" s="4">
        <v>0.61899999999999999</v>
      </c>
      <c r="Z42" s="6">
        <f t="shared" ref="Z42:Z44" si="13">(2*V42*W42)/(V42+W42)</f>
        <v>0.89081032547699213</v>
      </c>
      <c r="AJ42" s="4" t="s">
        <v>12</v>
      </c>
      <c r="AK42" s="4">
        <v>210</v>
      </c>
      <c r="AL42" s="4">
        <v>3346</v>
      </c>
      <c r="AM42" s="4">
        <v>0.89800000000000002</v>
      </c>
      <c r="AN42" s="4">
        <v>0.90200000000000002</v>
      </c>
      <c r="AO42" s="4">
        <v>0.95599999999999996</v>
      </c>
      <c r="AP42" s="4">
        <v>0.623</v>
      </c>
      <c r="AQ42" s="6">
        <f t="shared" ref="AQ42:AQ44" si="14">(2*AM42*AN42)/(AM42+AN42)</f>
        <v>0.89999555555555555</v>
      </c>
      <c r="BA42" s="4" t="s">
        <v>12</v>
      </c>
      <c r="BB42" s="4">
        <v>210</v>
      </c>
      <c r="BC42" s="4">
        <v>3346</v>
      </c>
      <c r="BD42" s="4">
        <v>0.90300000000000002</v>
      </c>
      <c r="BE42" s="4">
        <v>0.89300000000000002</v>
      </c>
      <c r="BF42" s="4">
        <v>0.95799999999999996</v>
      </c>
      <c r="BG42" s="4">
        <v>0.623</v>
      </c>
      <c r="BH42" s="6">
        <f t="shared" ref="BH42:BH44" si="15">(2*BD42*BE42)/(BD42+BE42)</f>
        <v>0.89797216035634753</v>
      </c>
    </row>
    <row r="43" spans="2:66">
      <c r="B43" s="4" t="s">
        <v>13</v>
      </c>
      <c r="C43" s="4">
        <v>210</v>
      </c>
      <c r="D43" s="4">
        <v>6442</v>
      </c>
      <c r="E43" s="4">
        <v>0.90300000000000002</v>
      </c>
      <c r="F43" s="4">
        <v>0.9</v>
      </c>
      <c r="G43" s="4">
        <v>0.91900000000000004</v>
      </c>
      <c r="H43" s="4">
        <v>0.432</v>
      </c>
      <c r="I43" s="6">
        <f t="shared" si="12"/>
        <v>0.90149750415973395</v>
      </c>
      <c r="J43" t="s">
        <v>48</v>
      </c>
      <c r="S43" s="4" t="s">
        <v>13</v>
      </c>
      <c r="T43" s="4">
        <v>210</v>
      </c>
      <c r="U43" s="4">
        <v>6442</v>
      </c>
      <c r="V43" s="4">
        <v>0.90400000000000003</v>
      </c>
      <c r="W43" s="4">
        <v>0.9</v>
      </c>
      <c r="X43" s="4">
        <v>0.92100000000000004</v>
      </c>
      <c r="Y43" s="4">
        <v>0.439</v>
      </c>
      <c r="Z43" s="6">
        <f t="shared" si="13"/>
        <v>0.90199556541019954</v>
      </c>
      <c r="AA43" t="s">
        <v>48</v>
      </c>
      <c r="AJ43" s="4" t="s">
        <v>13</v>
      </c>
      <c r="AK43" s="4">
        <v>210</v>
      </c>
      <c r="AL43" s="4">
        <v>6442</v>
      </c>
      <c r="AM43" s="4">
        <v>0.90400000000000003</v>
      </c>
      <c r="AN43" s="4">
        <v>0.90400000000000003</v>
      </c>
      <c r="AO43" s="4">
        <v>0.92100000000000004</v>
      </c>
      <c r="AP43" s="4">
        <v>0.439</v>
      </c>
      <c r="AQ43" s="6">
        <f t="shared" si="14"/>
        <v>0.90400000000000003</v>
      </c>
      <c r="AR43" t="s">
        <v>48</v>
      </c>
      <c r="BA43" s="4" t="s">
        <v>13</v>
      </c>
      <c r="BB43" s="4">
        <v>210</v>
      </c>
      <c r="BC43" s="4">
        <v>6442</v>
      </c>
      <c r="BD43" s="4">
        <v>0.90400000000000003</v>
      </c>
      <c r="BE43" s="4">
        <v>0.90300000000000002</v>
      </c>
      <c r="BF43" s="4">
        <v>0.92</v>
      </c>
      <c r="BG43" s="4">
        <v>0.44</v>
      </c>
      <c r="BH43" s="6">
        <f t="shared" si="15"/>
        <v>0.90349972329828454</v>
      </c>
      <c r="BI43" t="s">
        <v>48</v>
      </c>
    </row>
    <row r="44" spans="2:66">
      <c r="B44" s="4" t="s">
        <v>14</v>
      </c>
      <c r="C44" s="4">
        <v>210</v>
      </c>
      <c r="D44" s="4">
        <v>764</v>
      </c>
      <c r="E44" s="4">
        <v>0.79</v>
      </c>
      <c r="F44" s="4">
        <v>0.872</v>
      </c>
      <c r="G44" s="4">
        <v>0.89100000000000001</v>
      </c>
      <c r="H44" s="4">
        <v>0.58899999999999997</v>
      </c>
      <c r="I44" s="6">
        <f t="shared" si="12"/>
        <v>0.82897713598074618</v>
      </c>
      <c r="S44" s="4" t="s">
        <v>14</v>
      </c>
      <c r="T44" s="4">
        <v>210</v>
      </c>
      <c r="U44" s="4">
        <v>764</v>
      </c>
      <c r="V44" s="4">
        <v>0.81399999999999995</v>
      </c>
      <c r="W44" s="4">
        <v>0.85699999999999998</v>
      </c>
      <c r="X44" s="4">
        <v>0.86099999999999999</v>
      </c>
      <c r="Y44" s="4">
        <v>0.55400000000000005</v>
      </c>
      <c r="Z44" s="6">
        <f t="shared" si="13"/>
        <v>0.83494673847995216</v>
      </c>
      <c r="AJ44" s="4" t="s">
        <v>14</v>
      </c>
      <c r="AK44" s="4">
        <v>210</v>
      </c>
      <c r="AL44" s="4">
        <v>764</v>
      </c>
      <c r="AM44" s="4">
        <v>0.84399999999999997</v>
      </c>
      <c r="AN44" s="4">
        <v>0.84399999999999997</v>
      </c>
      <c r="AO44" s="4">
        <v>0.85399999999999998</v>
      </c>
      <c r="AP44" s="4">
        <v>0.54600000000000004</v>
      </c>
      <c r="AQ44" s="6">
        <f t="shared" si="14"/>
        <v>0.84399999999999997</v>
      </c>
      <c r="BA44" s="4" t="s">
        <v>14</v>
      </c>
      <c r="BB44" s="4">
        <v>210</v>
      </c>
      <c r="BC44" s="4">
        <v>764</v>
      </c>
      <c r="BD44" s="4">
        <v>0.78900000000000003</v>
      </c>
      <c r="BE44" s="4">
        <v>0.83199999999999996</v>
      </c>
      <c r="BF44" s="4">
        <v>0.84799999999999998</v>
      </c>
      <c r="BG44" s="4">
        <v>0.52300000000000002</v>
      </c>
      <c r="BH44" s="6">
        <f t="shared" si="15"/>
        <v>0.80992967304133257</v>
      </c>
    </row>
    <row r="47" spans="2:66">
      <c r="B47" t="s">
        <v>36</v>
      </c>
      <c r="C47" s="17" t="s">
        <v>41</v>
      </c>
      <c r="F47" t="s">
        <v>51</v>
      </c>
      <c r="S47" t="s">
        <v>36</v>
      </c>
      <c r="T47" s="17" t="s">
        <v>41</v>
      </c>
      <c r="W47" t="s">
        <v>51</v>
      </c>
      <c r="AJ47" t="s">
        <v>36</v>
      </c>
      <c r="AK47" s="17" t="s">
        <v>41</v>
      </c>
      <c r="AN47" t="s">
        <v>51</v>
      </c>
      <c r="BA47" t="s">
        <v>36</v>
      </c>
      <c r="BB47" s="17" t="s">
        <v>41</v>
      </c>
      <c r="BE47" t="s">
        <v>51</v>
      </c>
    </row>
    <row r="48" spans="2:66">
      <c r="B48" t="s">
        <v>32</v>
      </c>
      <c r="C48" s="2" t="s">
        <v>44</v>
      </c>
      <c r="K48" s="7" t="s">
        <v>15</v>
      </c>
      <c r="M48" t="s">
        <v>61</v>
      </c>
      <c r="S48" t="s">
        <v>32</v>
      </c>
      <c r="T48" s="2" t="s">
        <v>45</v>
      </c>
      <c r="AB48" s="7" t="s">
        <v>15</v>
      </c>
      <c r="AD48" t="s">
        <v>61</v>
      </c>
      <c r="AJ48" t="s">
        <v>32</v>
      </c>
      <c r="AK48" s="2" t="s">
        <v>46</v>
      </c>
      <c r="AS48" s="7" t="s">
        <v>15</v>
      </c>
      <c r="AU48" t="s">
        <v>61</v>
      </c>
      <c r="BA48" t="s">
        <v>32</v>
      </c>
      <c r="BB48" s="2" t="s">
        <v>47</v>
      </c>
      <c r="BJ48" s="7" t="s">
        <v>15</v>
      </c>
      <c r="BL48" t="s">
        <v>61</v>
      </c>
    </row>
    <row r="50" spans="2:68">
      <c r="B50" s="3" t="s">
        <v>3</v>
      </c>
      <c r="C50" s="3" t="s">
        <v>4</v>
      </c>
      <c r="D50" s="3" t="s">
        <v>5</v>
      </c>
      <c r="E50" s="3" t="s">
        <v>6</v>
      </c>
      <c r="F50" s="3" t="s">
        <v>7</v>
      </c>
      <c r="G50" s="3" t="s">
        <v>8</v>
      </c>
      <c r="H50" s="3" t="s">
        <v>9</v>
      </c>
      <c r="I50" s="3" t="s">
        <v>10</v>
      </c>
      <c r="K50" s="3" t="s">
        <v>16</v>
      </c>
      <c r="L50" s="3" t="s">
        <v>17</v>
      </c>
      <c r="M50" s="3" t="s">
        <v>57</v>
      </c>
      <c r="N50" s="3" t="s">
        <v>19</v>
      </c>
      <c r="O50" s="3" t="s">
        <v>20</v>
      </c>
      <c r="P50" s="3" t="s">
        <v>21</v>
      </c>
      <c r="Q50" s="8" t="s">
        <v>22</v>
      </c>
      <c r="S50" s="3" t="s">
        <v>3</v>
      </c>
      <c r="T50" s="3" t="s">
        <v>4</v>
      </c>
      <c r="U50" s="3" t="s">
        <v>5</v>
      </c>
      <c r="V50" s="3" t="s">
        <v>6</v>
      </c>
      <c r="W50" s="3" t="s">
        <v>7</v>
      </c>
      <c r="X50" s="3" t="s">
        <v>8</v>
      </c>
      <c r="Y50" s="3" t="s">
        <v>9</v>
      </c>
      <c r="Z50" s="3" t="s">
        <v>10</v>
      </c>
      <c r="AB50" s="3" t="s">
        <v>16</v>
      </c>
      <c r="AC50" s="3" t="s">
        <v>17</v>
      </c>
      <c r="AD50" s="3" t="s">
        <v>57</v>
      </c>
      <c r="AE50" s="3" t="s">
        <v>19</v>
      </c>
      <c r="AF50" s="3" t="s">
        <v>20</v>
      </c>
      <c r="AG50" s="3" t="s">
        <v>21</v>
      </c>
      <c r="AH50" s="8" t="s">
        <v>22</v>
      </c>
      <c r="AJ50" s="3" t="s">
        <v>3</v>
      </c>
      <c r="AK50" s="3" t="s">
        <v>4</v>
      </c>
      <c r="AL50" s="3" t="s">
        <v>5</v>
      </c>
      <c r="AM50" s="3" t="s">
        <v>6</v>
      </c>
      <c r="AN50" s="3" t="s">
        <v>7</v>
      </c>
      <c r="AO50" s="3" t="s">
        <v>8</v>
      </c>
      <c r="AP50" s="3" t="s">
        <v>9</v>
      </c>
      <c r="AQ50" s="3" t="s">
        <v>10</v>
      </c>
      <c r="AS50" s="3" t="s">
        <v>16</v>
      </c>
      <c r="AT50" s="3" t="s">
        <v>17</v>
      </c>
      <c r="AU50" s="3" t="s">
        <v>57</v>
      </c>
      <c r="AV50" s="3" t="s">
        <v>19</v>
      </c>
      <c r="AW50" s="3" t="s">
        <v>20</v>
      </c>
      <c r="AX50" s="3" t="s">
        <v>21</v>
      </c>
      <c r="AY50" s="8" t="s">
        <v>22</v>
      </c>
      <c r="BA50" s="3" t="s">
        <v>3</v>
      </c>
      <c r="BB50" s="3" t="s">
        <v>4</v>
      </c>
      <c r="BC50" s="3" t="s">
        <v>5</v>
      </c>
      <c r="BD50" s="3" t="s">
        <v>6</v>
      </c>
      <c r="BE50" s="3" t="s">
        <v>7</v>
      </c>
      <c r="BF50" s="3" t="s">
        <v>8</v>
      </c>
      <c r="BG50" s="3" t="s">
        <v>9</v>
      </c>
      <c r="BH50" s="3" t="s">
        <v>10</v>
      </c>
      <c r="BJ50" s="3" t="s">
        <v>16</v>
      </c>
      <c r="BK50" s="3" t="s">
        <v>17</v>
      </c>
      <c r="BL50" s="3" t="s">
        <v>57</v>
      </c>
      <c r="BM50" s="3" t="s">
        <v>19</v>
      </c>
      <c r="BN50" s="3" t="s">
        <v>20</v>
      </c>
      <c r="BO50" s="3" t="s">
        <v>21</v>
      </c>
      <c r="BP50" s="8" t="s">
        <v>22</v>
      </c>
    </row>
    <row r="51" spans="2:68">
      <c r="B51" s="4" t="s">
        <v>11</v>
      </c>
      <c r="C51" s="4">
        <v>630</v>
      </c>
      <c r="D51" s="4">
        <v>10552</v>
      </c>
      <c r="E51" s="4">
        <v>0.89800000000000002</v>
      </c>
      <c r="F51" s="4">
        <v>0.91900000000000004</v>
      </c>
      <c r="G51" s="4">
        <v>0.96</v>
      </c>
      <c r="H51" s="4">
        <v>0.83299999999999996</v>
      </c>
      <c r="I51" s="6">
        <f>(2*E51*F51)/(E51+F51)</f>
        <v>0.90837864611997798</v>
      </c>
      <c r="K51" s="4">
        <v>50</v>
      </c>
      <c r="L51" s="4">
        <v>16</v>
      </c>
      <c r="M51" s="4">
        <v>0.73399999999999999</v>
      </c>
      <c r="N51" s="4">
        <v>203</v>
      </c>
      <c r="O51" s="9">
        <v>10083449</v>
      </c>
      <c r="P51" s="9">
        <v>10083433</v>
      </c>
      <c r="Q51" s="10">
        <v>33.1</v>
      </c>
      <c r="S51" s="4" t="s">
        <v>11</v>
      </c>
      <c r="T51" s="4">
        <v>630</v>
      </c>
      <c r="U51" s="4">
        <v>10552</v>
      </c>
      <c r="V51" s="4">
        <v>0.90700000000000003</v>
      </c>
      <c r="W51" s="4">
        <v>0.91100000000000003</v>
      </c>
      <c r="X51" s="4">
        <v>0.95899999999999996</v>
      </c>
      <c r="Y51" s="4">
        <v>0.83399999999999996</v>
      </c>
      <c r="Z51" s="6">
        <f>(2*V51*W51)/(V51+W51)</f>
        <v>0.90899559955995601</v>
      </c>
      <c r="AB51" s="4">
        <v>50</v>
      </c>
      <c r="AC51" s="4">
        <v>16</v>
      </c>
      <c r="AD51" s="4">
        <v>1.3049999999999999</v>
      </c>
      <c r="AE51" s="4">
        <v>253</v>
      </c>
      <c r="AF51" s="9">
        <v>22361529</v>
      </c>
      <c r="AG51" s="9">
        <v>22361513</v>
      </c>
      <c r="AH51" s="10">
        <v>113.5</v>
      </c>
      <c r="AJ51" s="4" t="s">
        <v>11</v>
      </c>
      <c r="AK51" s="4">
        <v>630</v>
      </c>
      <c r="AL51" s="4">
        <v>10552</v>
      </c>
      <c r="AM51" s="4">
        <v>0.89300000000000002</v>
      </c>
      <c r="AN51" s="4">
        <v>0.92800000000000005</v>
      </c>
      <c r="AO51" s="4">
        <v>0.95899999999999996</v>
      </c>
      <c r="AP51" s="4">
        <v>0.83199999999999996</v>
      </c>
      <c r="AQ51" s="6">
        <f>(2*AM51*AN51)/(AM51+AN51)</f>
        <v>0.91016364634816038</v>
      </c>
      <c r="AS51" s="4">
        <v>50</v>
      </c>
      <c r="AT51" s="4">
        <v>16</v>
      </c>
      <c r="AU51" s="4">
        <v>1.504</v>
      </c>
      <c r="AV51" s="4">
        <v>379</v>
      </c>
      <c r="AW51" s="9">
        <v>27619001</v>
      </c>
      <c r="AX51" s="9">
        <v>27618985</v>
      </c>
      <c r="AY51" s="10">
        <v>132.6</v>
      </c>
      <c r="BA51" s="4" t="s">
        <v>11</v>
      </c>
      <c r="BB51" s="4">
        <v>630</v>
      </c>
      <c r="BC51" s="4">
        <v>10552</v>
      </c>
      <c r="BD51" s="4">
        <v>0.89900000000000002</v>
      </c>
      <c r="BE51" s="4">
        <v>0.91700000000000004</v>
      </c>
      <c r="BF51" s="4">
        <v>0.95499999999999996</v>
      </c>
      <c r="BG51" s="4">
        <v>0.82799999999999996</v>
      </c>
      <c r="BH51" s="6">
        <f>(2*BD51*BE51)/(BD51+BE51)</f>
        <v>0.90791079295154187</v>
      </c>
      <c r="BJ51" s="4">
        <v>50</v>
      </c>
      <c r="BK51" s="4">
        <v>16</v>
      </c>
      <c r="BL51" s="4">
        <v>2.581</v>
      </c>
      <c r="BM51" s="4">
        <v>379</v>
      </c>
      <c r="BN51" s="9">
        <v>62053721</v>
      </c>
      <c r="BO51" s="9">
        <v>62053705</v>
      </c>
      <c r="BP51" s="10">
        <v>297</v>
      </c>
    </row>
    <row r="52" spans="2:68">
      <c r="B52" s="4" t="s">
        <v>12</v>
      </c>
      <c r="C52" s="4">
        <v>210</v>
      </c>
      <c r="D52" s="4">
        <v>3346</v>
      </c>
      <c r="E52" s="4">
        <v>0.89400000000000002</v>
      </c>
      <c r="F52" s="4">
        <v>0.874</v>
      </c>
      <c r="G52" s="4">
        <v>0.94899999999999995</v>
      </c>
      <c r="H52" s="4">
        <v>0.82299999999999995</v>
      </c>
      <c r="I52" s="6">
        <f t="shared" ref="I52:I54" si="16">(2*E52*F52)/(E52+F52)</f>
        <v>0.88388687782805431</v>
      </c>
      <c r="S52" s="4" t="s">
        <v>12</v>
      </c>
      <c r="T52" s="4">
        <v>210</v>
      </c>
      <c r="U52" s="4">
        <v>3346</v>
      </c>
      <c r="V52" s="4">
        <v>0.90300000000000002</v>
      </c>
      <c r="W52" s="4">
        <v>0.86</v>
      </c>
      <c r="X52" s="4">
        <v>0.95099999999999996</v>
      </c>
      <c r="Y52" s="4">
        <v>0.82699999999999996</v>
      </c>
      <c r="Z52" s="6">
        <f t="shared" ref="Z52:Z54" si="17">(2*V52*W52)/(V52+W52)</f>
        <v>0.88097560975609768</v>
      </c>
      <c r="AJ52" s="4" t="s">
        <v>12</v>
      </c>
      <c r="AK52" s="4">
        <v>210</v>
      </c>
      <c r="AL52" s="4">
        <v>3346</v>
      </c>
      <c r="AM52" s="4">
        <v>0.879</v>
      </c>
      <c r="AN52" s="4">
        <v>0.89600000000000002</v>
      </c>
      <c r="AO52" s="4">
        <v>0.95299999999999996</v>
      </c>
      <c r="AP52" s="4">
        <v>0.82699999999999996</v>
      </c>
      <c r="AQ52" s="6">
        <f t="shared" ref="AQ52:AQ54" si="18">(2*AM52*AN52)/(AM52+AN52)</f>
        <v>0.88741859154929592</v>
      </c>
      <c r="BA52" s="4" t="s">
        <v>12</v>
      </c>
      <c r="BB52" s="4">
        <v>210</v>
      </c>
      <c r="BC52" s="4">
        <v>3346</v>
      </c>
      <c r="BD52" s="4">
        <v>0.89800000000000002</v>
      </c>
      <c r="BE52" s="4">
        <v>0.875</v>
      </c>
      <c r="BF52" s="4">
        <v>0.95099999999999996</v>
      </c>
      <c r="BG52" s="4">
        <v>0.82699999999999996</v>
      </c>
      <c r="BH52" s="6">
        <f t="shared" ref="BH52:BH54" si="19">(2*BD52*BE52)/(BD52+BE52)</f>
        <v>0.88635081782289904</v>
      </c>
    </row>
    <row r="53" spans="2:68" ht="42">
      <c r="B53" s="4" t="s">
        <v>13</v>
      </c>
      <c r="C53" s="4">
        <v>210</v>
      </c>
      <c r="D53" s="4">
        <v>6442</v>
      </c>
      <c r="E53" s="4">
        <v>0.96699999999999997</v>
      </c>
      <c r="F53" s="4">
        <v>0.96299999999999997</v>
      </c>
      <c r="G53" s="4">
        <v>0.99</v>
      </c>
      <c r="H53" s="4">
        <v>0.80600000000000005</v>
      </c>
      <c r="I53" s="6">
        <f t="shared" si="16"/>
        <v>0.96499585492227979</v>
      </c>
      <c r="K53" s="3" t="s">
        <v>23</v>
      </c>
      <c r="L53" s="11" t="s">
        <v>24</v>
      </c>
      <c r="M53" s="3" t="s">
        <v>25</v>
      </c>
      <c r="N53" s="11" t="s">
        <v>26</v>
      </c>
      <c r="O53" s="3" t="s">
        <v>27</v>
      </c>
      <c r="S53" s="4" t="s">
        <v>13</v>
      </c>
      <c r="T53" s="4">
        <v>210</v>
      </c>
      <c r="U53" s="4">
        <v>6442</v>
      </c>
      <c r="V53" s="4">
        <v>0.97499999999999998</v>
      </c>
      <c r="W53" s="4">
        <v>0.95699999999999996</v>
      </c>
      <c r="X53" s="4">
        <v>0.98899999999999999</v>
      </c>
      <c r="Y53" s="4">
        <v>0.81</v>
      </c>
      <c r="Z53" s="6">
        <f t="shared" si="17"/>
        <v>0.96591614906832302</v>
      </c>
      <c r="AB53" s="3" t="s">
        <v>23</v>
      </c>
      <c r="AC53" s="11" t="s">
        <v>24</v>
      </c>
      <c r="AD53" s="3" t="s">
        <v>25</v>
      </c>
      <c r="AE53" s="11" t="s">
        <v>26</v>
      </c>
      <c r="AF53" s="3" t="s">
        <v>27</v>
      </c>
      <c r="AJ53" s="4" t="s">
        <v>13</v>
      </c>
      <c r="AK53" s="4">
        <v>210</v>
      </c>
      <c r="AL53" s="4">
        <v>6442</v>
      </c>
      <c r="AM53" s="4">
        <v>0.96199999999999997</v>
      </c>
      <c r="AN53" s="4">
        <v>0.97199999999999998</v>
      </c>
      <c r="AO53" s="4">
        <v>0.99</v>
      </c>
      <c r="AP53" s="4">
        <v>0.80900000000000005</v>
      </c>
      <c r="AQ53" s="6">
        <f t="shared" si="18"/>
        <v>0.96697414684591509</v>
      </c>
      <c r="AS53" s="3" t="s">
        <v>23</v>
      </c>
      <c r="AT53" s="11" t="s">
        <v>24</v>
      </c>
      <c r="AU53" s="3" t="s">
        <v>25</v>
      </c>
      <c r="AV53" s="11" t="s">
        <v>26</v>
      </c>
      <c r="AW53" s="3" t="s">
        <v>27</v>
      </c>
      <c r="BA53" s="4" t="s">
        <v>13</v>
      </c>
      <c r="BB53" s="4">
        <v>210</v>
      </c>
      <c r="BC53" s="4">
        <v>6442</v>
      </c>
      <c r="BD53" s="4">
        <v>0.96899999999999997</v>
      </c>
      <c r="BE53" s="4">
        <v>0.96599999999999997</v>
      </c>
      <c r="BF53" s="4">
        <v>0.99</v>
      </c>
      <c r="BG53" s="4">
        <v>0.81200000000000006</v>
      </c>
      <c r="BH53" s="6">
        <f t="shared" si="19"/>
        <v>0.96749767441860457</v>
      </c>
      <c r="BJ53" s="3" t="s">
        <v>23</v>
      </c>
      <c r="BK53" s="11" t="s">
        <v>24</v>
      </c>
      <c r="BL53" s="3" t="s">
        <v>25</v>
      </c>
      <c r="BM53" s="11" t="s">
        <v>26</v>
      </c>
      <c r="BN53" s="3" t="s">
        <v>27</v>
      </c>
    </row>
    <row r="54" spans="2:68">
      <c r="B54" s="4" t="s">
        <v>14</v>
      </c>
      <c r="C54" s="4">
        <v>210</v>
      </c>
      <c r="D54" s="4">
        <v>764</v>
      </c>
      <c r="E54" s="4">
        <v>0.83399999999999996</v>
      </c>
      <c r="F54" s="4">
        <v>0.92</v>
      </c>
      <c r="G54" s="4">
        <v>0.94099999999999995</v>
      </c>
      <c r="H54" s="4">
        <v>0.86899999999999999</v>
      </c>
      <c r="I54" s="6">
        <f t="shared" si="16"/>
        <v>0.87489167616875707</v>
      </c>
      <c r="K54" s="4">
        <v>0.1</v>
      </c>
      <c r="L54" s="4">
        <v>3.9</v>
      </c>
      <c r="M54" s="4">
        <v>1.8</v>
      </c>
      <c r="N54" s="4">
        <f>SUM(K54:M54)</f>
        <v>5.8</v>
      </c>
      <c r="O54" s="4" t="s">
        <v>31</v>
      </c>
      <c r="S54" s="4" t="s">
        <v>14</v>
      </c>
      <c r="T54" s="4">
        <v>210</v>
      </c>
      <c r="U54" s="4">
        <v>764</v>
      </c>
      <c r="V54" s="4">
        <v>0.84399999999999997</v>
      </c>
      <c r="W54" s="4">
        <v>0.91600000000000004</v>
      </c>
      <c r="X54" s="4">
        <v>0.93500000000000005</v>
      </c>
      <c r="Y54" s="4">
        <v>0.86399999999999999</v>
      </c>
      <c r="Z54" s="6">
        <f t="shared" si="17"/>
        <v>0.87852727272727271</v>
      </c>
      <c r="AB54" s="4">
        <v>0.1</v>
      </c>
      <c r="AC54" s="4">
        <v>9.5</v>
      </c>
      <c r="AD54" s="4">
        <v>1.6</v>
      </c>
      <c r="AE54" s="4">
        <f>SUM(AB54:AD54)</f>
        <v>11.2</v>
      </c>
      <c r="AF54" s="4" t="s">
        <v>31</v>
      </c>
      <c r="AJ54" s="4" t="s">
        <v>14</v>
      </c>
      <c r="AK54" s="4">
        <v>210</v>
      </c>
      <c r="AL54" s="4">
        <v>764</v>
      </c>
      <c r="AM54" s="4">
        <v>0.83799999999999997</v>
      </c>
      <c r="AN54" s="4">
        <v>0.91500000000000004</v>
      </c>
      <c r="AO54" s="4">
        <v>0.93500000000000005</v>
      </c>
      <c r="AP54" s="4">
        <v>0.86099999999999999</v>
      </c>
      <c r="AQ54" s="6">
        <f t="shared" si="18"/>
        <v>0.87480889903023373</v>
      </c>
      <c r="AS54" s="4">
        <v>0.1</v>
      </c>
      <c r="AT54" s="4">
        <v>11</v>
      </c>
      <c r="AU54" s="4">
        <v>1.6</v>
      </c>
      <c r="AV54" s="4">
        <f>SUM(AS54:AU54)</f>
        <v>12.7</v>
      </c>
      <c r="AW54" s="4" t="s">
        <v>31</v>
      </c>
      <c r="BA54" s="4" t="s">
        <v>14</v>
      </c>
      <c r="BB54" s="4">
        <v>210</v>
      </c>
      <c r="BC54" s="4">
        <v>764</v>
      </c>
      <c r="BD54" s="4">
        <v>0.83099999999999996</v>
      </c>
      <c r="BE54" s="4">
        <v>0.91</v>
      </c>
      <c r="BF54" s="4">
        <v>0.92500000000000004</v>
      </c>
      <c r="BG54" s="4">
        <v>0.84499999999999997</v>
      </c>
      <c r="BH54" s="6">
        <f t="shared" si="19"/>
        <v>0.86870763928776551</v>
      </c>
      <c r="BJ54" s="4">
        <v>0.1</v>
      </c>
      <c r="BK54" s="4">
        <v>21.7</v>
      </c>
      <c r="BL54" s="4">
        <v>1.4</v>
      </c>
      <c r="BM54" s="4">
        <f>SUM(BJ54:BL54)</f>
        <v>23.2</v>
      </c>
      <c r="BN54" s="4" t="s">
        <v>31</v>
      </c>
    </row>
    <row r="56" spans="2:68">
      <c r="B56" t="s">
        <v>36</v>
      </c>
      <c r="C56" s="24" t="s">
        <v>42</v>
      </c>
      <c r="S56" t="s">
        <v>36</v>
      </c>
      <c r="T56" s="24" t="s">
        <v>42</v>
      </c>
      <c r="AJ56" t="s">
        <v>36</v>
      </c>
      <c r="AK56" s="24" t="s">
        <v>42</v>
      </c>
      <c r="BA56" t="s">
        <v>36</v>
      </c>
      <c r="BB56" s="24" t="s">
        <v>42</v>
      </c>
    </row>
    <row r="57" spans="2:68">
      <c r="B57" t="s">
        <v>32</v>
      </c>
      <c r="C57" s="2" t="s">
        <v>44</v>
      </c>
      <c r="D57" t="s">
        <v>56</v>
      </c>
      <c r="S57" t="s">
        <v>32</v>
      </c>
      <c r="T57" s="2" t="s">
        <v>45</v>
      </c>
      <c r="AJ57" t="s">
        <v>32</v>
      </c>
      <c r="AK57" s="2" t="s">
        <v>46</v>
      </c>
      <c r="BA57" t="s">
        <v>32</v>
      </c>
      <c r="BB57" s="2" t="s">
        <v>47</v>
      </c>
    </row>
    <row r="59" spans="2:68">
      <c r="B59" s="3" t="s">
        <v>3</v>
      </c>
      <c r="C59" s="3" t="s">
        <v>4</v>
      </c>
      <c r="D59" s="3" t="s">
        <v>5</v>
      </c>
      <c r="E59" s="3" t="s">
        <v>6</v>
      </c>
      <c r="F59" s="3" t="s">
        <v>7</v>
      </c>
      <c r="G59" s="3" t="s">
        <v>8</v>
      </c>
      <c r="H59" s="3" t="s">
        <v>9</v>
      </c>
      <c r="I59" s="3" t="s">
        <v>10</v>
      </c>
      <c r="S59" s="3" t="s">
        <v>3</v>
      </c>
      <c r="T59" s="3" t="s">
        <v>4</v>
      </c>
      <c r="U59" s="3" t="s">
        <v>5</v>
      </c>
      <c r="V59" s="3" t="s">
        <v>6</v>
      </c>
      <c r="W59" s="3" t="s">
        <v>7</v>
      </c>
      <c r="X59" s="3" t="s">
        <v>8</v>
      </c>
      <c r="Y59" s="3" t="s">
        <v>9</v>
      </c>
      <c r="Z59" s="3" t="s">
        <v>10</v>
      </c>
      <c r="AJ59" s="3" t="s">
        <v>3</v>
      </c>
      <c r="AK59" s="3" t="s">
        <v>4</v>
      </c>
      <c r="AL59" s="3" t="s">
        <v>5</v>
      </c>
      <c r="AM59" s="3" t="s">
        <v>6</v>
      </c>
      <c r="AN59" s="3" t="s">
        <v>7</v>
      </c>
      <c r="AO59" s="3" t="s">
        <v>8</v>
      </c>
      <c r="AP59" s="3" t="s">
        <v>9</v>
      </c>
      <c r="AQ59" s="3" t="s">
        <v>10</v>
      </c>
      <c r="BA59" s="3" t="s">
        <v>3</v>
      </c>
      <c r="BB59" s="3" t="s">
        <v>4</v>
      </c>
      <c r="BC59" s="3" t="s">
        <v>5</v>
      </c>
      <c r="BD59" s="3" t="s">
        <v>6</v>
      </c>
      <c r="BE59" s="3" t="s">
        <v>7</v>
      </c>
      <c r="BF59" s="3" t="s">
        <v>8</v>
      </c>
      <c r="BG59" s="3" t="s">
        <v>9</v>
      </c>
      <c r="BH59" s="3" t="s">
        <v>10</v>
      </c>
    </row>
    <row r="60" spans="2:68">
      <c r="B60" s="4" t="s">
        <v>11</v>
      </c>
      <c r="C60" s="4">
        <v>630</v>
      </c>
      <c r="D60" s="4">
        <v>10552</v>
      </c>
      <c r="E60" s="4">
        <v>0.86599999999999999</v>
      </c>
      <c r="F60" s="4">
        <v>0.88700000000000001</v>
      </c>
      <c r="G60" s="4">
        <v>0.92</v>
      </c>
      <c r="H60" s="4">
        <v>0.54500000000000004</v>
      </c>
      <c r="I60" s="6">
        <f>(2*E60*F60)/(E60+F60)</f>
        <v>0.8763742156303479</v>
      </c>
      <c r="S60" s="4" t="s">
        <v>11</v>
      </c>
      <c r="T60" s="4">
        <v>630</v>
      </c>
      <c r="U60" s="4">
        <v>10552</v>
      </c>
      <c r="V60" s="4">
        <v>0.86699999999999999</v>
      </c>
      <c r="W60" s="4">
        <v>0.877</v>
      </c>
      <c r="X60" s="4">
        <v>0.91300000000000003</v>
      </c>
      <c r="Y60" s="4">
        <v>0.54100000000000004</v>
      </c>
      <c r="Z60" s="6">
        <f>(2*V60*W60)/(V60+W60)</f>
        <v>0.87197133027522933</v>
      </c>
      <c r="AJ60" s="4" t="s">
        <v>11</v>
      </c>
      <c r="AK60" s="4">
        <v>630</v>
      </c>
      <c r="AL60" s="4">
        <v>10552</v>
      </c>
      <c r="AM60" s="4">
        <v>0.86099999999999999</v>
      </c>
      <c r="AN60" s="4">
        <v>0.88900000000000001</v>
      </c>
      <c r="AO60" s="4">
        <v>0.91300000000000003</v>
      </c>
      <c r="AP60" s="4">
        <v>0.53700000000000003</v>
      </c>
      <c r="AQ60" s="6">
        <f>(2*AM60*AN60)/(AM60+AN60)</f>
        <v>0.874776</v>
      </c>
      <c r="BA60" s="4" t="s">
        <v>11</v>
      </c>
      <c r="BB60" s="4">
        <v>630</v>
      </c>
      <c r="BC60" s="4">
        <v>10552</v>
      </c>
      <c r="BD60" s="4">
        <v>0.86299999999999999</v>
      </c>
      <c r="BE60" s="4">
        <v>0.879</v>
      </c>
      <c r="BF60" s="4">
        <v>0.90400000000000003</v>
      </c>
      <c r="BG60" s="4">
        <v>0.53200000000000003</v>
      </c>
      <c r="BH60" s="6">
        <f>(2*BD60*BE60)/(BD60+BE60)</f>
        <v>0.87092652123995407</v>
      </c>
    </row>
    <row r="61" spans="2:68">
      <c r="B61" s="4" t="s">
        <v>12</v>
      </c>
      <c r="C61" s="4">
        <v>210</v>
      </c>
      <c r="D61" s="4">
        <v>3346</v>
      </c>
      <c r="E61" s="4">
        <v>0.90200000000000002</v>
      </c>
      <c r="F61" s="4">
        <v>0.88300000000000001</v>
      </c>
      <c r="G61" s="4">
        <v>0.95399999999999996</v>
      </c>
      <c r="H61" s="4">
        <v>0.61699999999999999</v>
      </c>
      <c r="I61" s="6">
        <f t="shared" ref="I61:I63" si="20">(2*E61*F61)/(E61+F61)</f>
        <v>0.89239887955182062</v>
      </c>
      <c r="S61" s="4" t="s">
        <v>12</v>
      </c>
      <c r="T61" s="4">
        <v>210</v>
      </c>
      <c r="U61" s="4">
        <v>3346</v>
      </c>
      <c r="V61" s="4">
        <v>0.90700000000000003</v>
      </c>
      <c r="W61" s="4">
        <v>0.874</v>
      </c>
      <c r="X61" s="4">
        <v>0.95599999999999996</v>
      </c>
      <c r="Y61" s="4">
        <v>0.621</v>
      </c>
      <c r="Z61" s="6">
        <f t="shared" ref="Z61:Z63" si="21">(2*V61*W61)/(V61+W61)</f>
        <v>0.8901942728804042</v>
      </c>
      <c r="AJ61" s="4" t="s">
        <v>12</v>
      </c>
      <c r="AK61" s="4">
        <v>210</v>
      </c>
      <c r="AL61" s="4">
        <v>3346</v>
      </c>
      <c r="AM61" s="4">
        <v>0.89400000000000002</v>
      </c>
      <c r="AN61" s="4">
        <v>0.90200000000000002</v>
      </c>
      <c r="AO61" s="4">
        <v>0.95799999999999996</v>
      </c>
      <c r="AP61" s="4">
        <v>0.61799999999999999</v>
      </c>
      <c r="AQ61" s="6">
        <f t="shared" ref="AQ61:AQ63" si="22">(2*AM61*AN61)/(AM61+AN61)</f>
        <v>0.89798218262806229</v>
      </c>
      <c r="BA61" s="4" t="s">
        <v>12</v>
      </c>
      <c r="BB61" s="4">
        <v>210</v>
      </c>
      <c r="BC61" s="4">
        <v>3346</v>
      </c>
      <c r="BD61" s="4">
        <v>0.90900000000000003</v>
      </c>
      <c r="BE61" s="4">
        <v>0.88700000000000001</v>
      </c>
      <c r="BF61" s="4">
        <v>0.95699999999999996</v>
      </c>
      <c r="BG61" s="4">
        <v>0.61899999999999999</v>
      </c>
      <c r="BH61" s="6">
        <f t="shared" ref="BH61:BH63" si="23">(2*BD61*BE61)/(BD61+BE61)</f>
        <v>0.89786525612472168</v>
      </c>
    </row>
    <row r="62" spans="2:68">
      <c r="B62" s="4" t="s">
        <v>13</v>
      </c>
      <c r="C62" s="4">
        <v>210</v>
      </c>
      <c r="D62" s="4">
        <v>6442</v>
      </c>
      <c r="E62" s="4">
        <v>0.89900000000000002</v>
      </c>
      <c r="F62" s="4">
        <v>0.89600000000000002</v>
      </c>
      <c r="G62" s="4">
        <v>0.91100000000000003</v>
      </c>
      <c r="H62" s="4">
        <v>0.42399999999999999</v>
      </c>
      <c r="I62" s="6">
        <f t="shared" si="20"/>
        <v>0.89749749303621174</v>
      </c>
      <c r="J62" t="s">
        <v>48</v>
      </c>
      <c r="S62" s="4" t="s">
        <v>13</v>
      </c>
      <c r="T62" s="4">
        <v>210</v>
      </c>
      <c r="U62" s="4">
        <v>6442</v>
      </c>
      <c r="V62" s="4">
        <v>0.90600000000000003</v>
      </c>
      <c r="W62" s="4">
        <v>0.89200000000000002</v>
      </c>
      <c r="X62" s="4">
        <v>0.91500000000000004</v>
      </c>
      <c r="Y62" s="4">
        <v>0.434</v>
      </c>
      <c r="Z62" s="6">
        <f t="shared" si="21"/>
        <v>0.89894549499443832</v>
      </c>
      <c r="AA62" t="s">
        <v>48</v>
      </c>
      <c r="AJ62" s="4" t="s">
        <v>13</v>
      </c>
      <c r="AK62" s="4">
        <v>210</v>
      </c>
      <c r="AL62" s="4">
        <v>6442</v>
      </c>
      <c r="AM62" s="4">
        <v>0.89900000000000002</v>
      </c>
      <c r="AN62" s="4">
        <v>0.90700000000000003</v>
      </c>
      <c r="AO62" s="4">
        <v>0.91700000000000004</v>
      </c>
      <c r="AP62" s="4">
        <v>0.435</v>
      </c>
      <c r="AQ62" s="6">
        <f t="shared" si="22"/>
        <v>0.90298228128460689</v>
      </c>
      <c r="AR62" t="s">
        <v>48</v>
      </c>
      <c r="BA62" s="4" t="s">
        <v>13</v>
      </c>
      <c r="BB62" s="4">
        <v>210</v>
      </c>
      <c r="BC62" s="4">
        <v>6442</v>
      </c>
      <c r="BD62" s="4">
        <v>0.90600000000000003</v>
      </c>
      <c r="BE62" s="4">
        <v>0.90400000000000003</v>
      </c>
      <c r="BF62" s="4">
        <v>0.82399999999999995</v>
      </c>
      <c r="BG62" s="4">
        <v>0.441</v>
      </c>
      <c r="BH62" s="6">
        <f t="shared" si="23"/>
        <v>0.90499889502762443</v>
      </c>
      <c r="BI62" t="s">
        <v>48</v>
      </c>
    </row>
    <row r="63" spans="2:68">
      <c r="B63" s="4" t="s">
        <v>14</v>
      </c>
      <c r="C63" s="4">
        <v>210</v>
      </c>
      <c r="D63" s="4">
        <v>764</v>
      </c>
      <c r="E63" s="4">
        <v>0.79900000000000004</v>
      </c>
      <c r="F63" s="4">
        <v>0.88200000000000001</v>
      </c>
      <c r="G63" s="4">
        <v>0.89500000000000002</v>
      </c>
      <c r="H63" s="4">
        <v>0.59499999999999997</v>
      </c>
      <c r="I63" s="6">
        <f t="shared" si="20"/>
        <v>0.83845092207019634</v>
      </c>
      <c r="S63" s="4" t="s">
        <v>14</v>
      </c>
      <c r="T63" s="4">
        <v>210</v>
      </c>
      <c r="U63" s="4">
        <v>764</v>
      </c>
      <c r="V63" s="4">
        <v>0.78900000000000003</v>
      </c>
      <c r="W63" s="4">
        <v>0.86499999999999999</v>
      </c>
      <c r="X63" s="4">
        <v>0.86699999999999999</v>
      </c>
      <c r="Y63" s="4">
        <v>0.56899999999999995</v>
      </c>
      <c r="Z63" s="6">
        <f t="shared" si="21"/>
        <v>0.8252539298669892</v>
      </c>
      <c r="AJ63" s="4" t="s">
        <v>14</v>
      </c>
      <c r="AK63" s="4">
        <v>210</v>
      </c>
      <c r="AL63" s="4">
        <v>764</v>
      </c>
      <c r="AM63" s="4">
        <v>0.78900000000000003</v>
      </c>
      <c r="AN63" s="4">
        <v>0.85699999999999998</v>
      </c>
      <c r="AO63" s="4">
        <v>0.86299999999999999</v>
      </c>
      <c r="AP63" s="4">
        <v>0.55800000000000005</v>
      </c>
      <c r="AQ63" s="6">
        <f t="shared" si="22"/>
        <v>0.82159538274605115</v>
      </c>
      <c r="BA63" s="4" t="s">
        <v>14</v>
      </c>
      <c r="BB63" s="4">
        <v>210</v>
      </c>
      <c r="BC63" s="4">
        <v>764</v>
      </c>
      <c r="BD63" s="4">
        <v>0.77300000000000002</v>
      </c>
      <c r="BE63" s="4">
        <v>0.84699999999999998</v>
      </c>
      <c r="BF63" s="4">
        <v>0.83199999999999996</v>
      </c>
      <c r="BG63" s="4">
        <v>0.53600000000000003</v>
      </c>
      <c r="BH63" s="6">
        <f t="shared" si="23"/>
        <v>0.80830987654320974</v>
      </c>
    </row>
    <row r="69" spans="2:64">
      <c r="B69" s="3" t="s">
        <v>11</v>
      </c>
      <c r="C69" s="12" t="s">
        <v>52</v>
      </c>
      <c r="D69" s="12" t="s">
        <v>53</v>
      </c>
      <c r="F69" s="3" t="s">
        <v>11</v>
      </c>
      <c r="G69" s="12" t="s">
        <v>52</v>
      </c>
      <c r="H69" s="12" t="s">
        <v>53</v>
      </c>
      <c r="K69" s="5"/>
      <c r="L69" s="12" t="s">
        <v>52</v>
      </c>
      <c r="M69" s="12" t="s">
        <v>27</v>
      </c>
      <c r="S69" s="3" t="s">
        <v>11</v>
      </c>
      <c r="T69" s="12" t="s">
        <v>52</v>
      </c>
      <c r="U69" s="12" t="s">
        <v>53</v>
      </c>
      <c r="W69" s="3" t="s">
        <v>11</v>
      </c>
      <c r="X69" s="12" t="s">
        <v>52</v>
      </c>
      <c r="Y69" s="12" t="s">
        <v>53</v>
      </c>
      <c r="AB69" s="5"/>
      <c r="AC69" s="12" t="s">
        <v>52</v>
      </c>
      <c r="AD69" s="12" t="s">
        <v>27</v>
      </c>
      <c r="AJ69" s="3" t="s">
        <v>11</v>
      </c>
      <c r="AK69" s="12" t="s">
        <v>52</v>
      </c>
      <c r="AL69" s="12" t="s">
        <v>53</v>
      </c>
      <c r="AN69" s="3" t="s">
        <v>11</v>
      </c>
      <c r="AO69" s="12" t="s">
        <v>52</v>
      </c>
      <c r="AP69" s="12" t="s">
        <v>53</v>
      </c>
      <c r="AS69" s="5"/>
      <c r="AT69" s="12" t="s">
        <v>52</v>
      </c>
      <c r="AU69" s="12" t="s">
        <v>27</v>
      </c>
      <c r="BA69" s="3" t="s">
        <v>11</v>
      </c>
      <c r="BB69" s="12" t="s">
        <v>52</v>
      </c>
      <c r="BC69" s="12" t="s">
        <v>53</v>
      </c>
      <c r="BE69" s="3" t="s">
        <v>11</v>
      </c>
      <c r="BF69" s="12" t="s">
        <v>52</v>
      </c>
      <c r="BG69" s="12" t="s">
        <v>53</v>
      </c>
      <c r="BJ69" s="5"/>
      <c r="BK69" s="12" t="s">
        <v>52</v>
      </c>
      <c r="BL69" s="12" t="s">
        <v>27</v>
      </c>
    </row>
    <row r="70" spans="2:64" ht="28">
      <c r="B70" s="3" t="s">
        <v>6</v>
      </c>
      <c r="C70" s="6">
        <f>AVERAGE(E13,E32,E51)</f>
        <v>0.89433333333333342</v>
      </c>
      <c r="D70" s="6">
        <f>STDEV(E13,E32,E51)</f>
        <v>3.2145502536643214E-3</v>
      </c>
      <c r="F70" s="3" t="s">
        <v>6</v>
      </c>
      <c r="G70" s="6">
        <f>AVERAGE(E22,E41,E60)</f>
        <v>0.8623333333333334</v>
      </c>
      <c r="H70" s="6">
        <f>STDEV(E22,E41,E60)</f>
        <v>3.5118845842842497E-3</v>
      </c>
      <c r="K70" s="18" t="s">
        <v>54</v>
      </c>
      <c r="L70" s="19">
        <f>AVERAGE(N16,N35,N54)</f>
        <v>5.833333333333333</v>
      </c>
      <c r="M70" s="5" t="s">
        <v>55</v>
      </c>
      <c r="S70" s="3" t="s">
        <v>6</v>
      </c>
      <c r="T70" s="6">
        <f>AVERAGE(V13,V32,V51)</f>
        <v>0.90600000000000003</v>
      </c>
      <c r="U70" s="6">
        <f>STDEV(V13,V32,V51)</f>
        <v>2.6457513110645929E-3</v>
      </c>
      <c r="W70" s="3" t="s">
        <v>6</v>
      </c>
      <c r="X70" s="6">
        <f>AVERAGE(V22,V41,V60)</f>
        <v>0.86799999999999999</v>
      </c>
      <c r="Y70" s="6">
        <f>STDEV(V22,V41,V60)</f>
        <v>5.5677643628300267E-3</v>
      </c>
      <c r="AB70" s="18" t="s">
        <v>54</v>
      </c>
      <c r="AC70" s="19">
        <f>AVERAGE(AE16,AE35,AE54)</f>
        <v>11.133333333333331</v>
      </c>
      <c r="AD70" s="5" t="s">
        <v>55</v>
      </c>
      <c r="AJ70" s="3" t="s">
        <v>6</v>
      </c>
      <c r="AK70" s="6">
        <f>AVERAGE(AM13,AM32,AM51)</f>
        <v>0.89400000000000013</v>
      </c>
      <c r="AL70" s="6">
        <f>STDEV(AM13,AM32,AM51)</f>
        <v>3.6055512754639926E-3</v>
      </c>
      <c r="AN70" s="3" t="s">
        <v>6</v>
      </c>
      <c r="AO70" s="6">
        <f>AVERAGE(AM22,AM41,AM60)</f>
        <v>0.85899999999999999</v>
      </c>
      <c r="AP70" s="6">
        <f>STDEV(AM22,AM41,AM60)</f>
        <v>5.2915026221291859E-3</v>
      </c>
      <c r="AS70" s="18" t="s">
        <v>54</v>
      </c>
      <c r="AT70" s="19">
        <f>AVERAGE(AV16,AV35,AV54)</f>
        <v>14.433333333333332</v>
      </c>
      <c r="AU70" s="5" t="s">
        <v>55</v>
      </c>
      <c r="BA70" s="3" t="s">
        <v>6</v>
      </c>
      <c r="BB70" s="6">
        <f>AVERAGE(BD13,BD32,BD51)</f>
        <v>0.89966666666666661</v>
      </c>
      <c r="BC70" s="6">
        <f>STDEV(BD13,BD32,BD51)</f>
        <v>1.1547005383792527E-3</v>
      </c>
      <c r="BE70" s="3" t="s">
        <v>6</v>
      </c>
      <c r="BF70" s="6">
        <f>AVERAGE(BD22,BD41,BD60)</f>
        <v>0.86333333333333329</v>
      </c>
      <c r="BG70" s="6">
        <f>STDEV(BD22,BD41,BD60)</f>
        <v>1.5275252316519479E-3</v>
      </c>
      <c r="BJ70" s="18" t="s">
        <v>54</v>
      </c>
      <c r="BK70" s="19">
        <f>AVERAGE(BM16,BM35,BM54)</f>
        <v>22.666666666666668</v>
      </c>
      <c r="BL70" s="5" t="s">
        <v>55</v>
      </c>
    </row>
    <row r="71" spans="2:64">
      <c r="B71" s="3" t="s">
        <v>7</v>
      </c>
      <c r="C71" s="6">
        <f>AVERAGE(F13,F32,F51)</f>
        <v>0.92</v>
      </c>
      <c r="D71" s="6">
        <f>STDEV(F13,F32,F51)</f>
        <v>1.7320508075688791E-3</v>
      </c>
      <c r="F71" s="3" t="s">
        <v>7</v>
      </c>
      <c r="G71" s="6">
        <f>AVERAGE(F22,F41,F60)</f>
        <v>0.88733333333333331</v>
      </c>
      <c r="H71" s="6">
        <f>STDEV(F22,F41,F60)</f>
        <v>4.5092497528228985E-3</v>
      </c>
      <c r="K71" s="26" t="s">
        <v>18</v>
      </c>
      <c r="L71" s="30">
        <f>AVERAGE(M13,M32,M51)</f>
        <v>0.75466666666666671</v>
      </c>
      <c r="M71" s="5" t="s">
        <v>58</v>
      </c>
      <c r="S71" s="3" t="s">
        <v>7</v>
      </c>
      <c r="T71" s="6">
        <f>AVERAGE(W13,W32,W51)</f>
        <v>0.91299999999999992</v>
      </c>
      <c r="U71" s="6">
        <f>STDEV(W13,W32,W51)</f>
        <v>2.6457513110645929E-3</v>
      </c>
      <c r="W71" s="3" t="s">
        <v>7</v>
      </c>
      <c r="X71" s="6">
        <f>AVERAGE(W22,W41,W60)</f>
        <v>0.87966666666666671</v>
      </c>
      <c r="Y71" s="6">
        <f>STDEV(W22,W41,W60)</f>
        <v>3.7859388972001857E-3</v>
      </c>
      <c r="AB71" s="26" t="s">
        <v>18</v>
      </c>
      <c r="AC71" s="30">
        <f>AVERAGE(AD13,AD32,AD51)</f>
        <v>1.2933333333333332</v>
      </c>
      <c r="AD71" s="5" t="s">
        <v>58</v>
      </c>
      <c r="AJ71" s="3" t="s">
        <v>7</v>
      </c>
      <c r="AK71" s="6">
        <f>AVERAGE(AN13,AN32,AN51)</f>
        <v>0.92233333333333334</v>
      </c>
      <c r="AL71" s="6">
        <f>STDEV(AN13,AN32,AN51)</f>
        <v>5.131601439446889E-3</v>
      </c>
      <c r="AN71" s="3" t="s">
        <v>7</v>
      </c>
      <c r="AO71" s="6">
        <f>AVERAGE(AN22,AN41,AN60)</f>
        <v>0.88700000000000001</v>
      </c>
      <c r="AP71" s="6">
        <f>STDEV(AN22,AN41,AN60)</f>
        <v>3.4641016151377583E-3</v>
      </c>
      <c r="AS71" s="26" t="s">
        <v>18</v>
      </c>
      <c r="AT71" s="30">
        <f>AVERAGE(AU13,AU32,AU51)</f>
        <v>1.8726666666666667</v>
      </c>
      <c r="AU71" s="5" t="s">
        <v>58</v>
      </c>
      <c r="BA71" s="3" t="s">
        <v>7</v>
      </c>
      <c r="BB71" s="6">
        <f>AVERAGE(BE13,BE32,BE51)</f>
        <v>0.91800000000000015</v>
      </c>
      <c r="BC71" s="6">
        <f>STDEV(BE13,BE32,BE51)</f>
        <v>3.6055512754639926E-3</v>
      </c>
      <c r="BE71" s="3" t="s">
        <v>7</v>
      </c>
      <c r="BF71" s="6">
        <f>AVERAGE(BE22,BE41,BE60)</f>
        <v>0.88</v>
      </c>
      <c r="BG71" s="6">
        <f>STDEV(BE22,BE41,BE60)</f>
        <v>4.5825756949558439E-3</v>
      </c>
      <c r="BJ71" s="26" t="s">
        <v>18</v>
      </c>
      <c r="BK71" s="30">
        <f>AVERAGE(BL13,BL32,BL51)</f>
        <v>2.5326666666666662</v>
      </c>
      <c r="BL71" s="5" t="s">
        <v>58</v>
      </c>
    </row>
    <row r="72" spans="2:64">
      <c r="B72" s="3" t="s">
        <v>8</v>
      </c>
      <c r="C72" s="21">
        <f>AVERAGE(G13,G32,G51)</f>
        <v>0.95799999999999985</v>
      </c>
      <c r="D72" s="6">
        <f>STDEV(G13,G32,G51)</f>
        <v>1.7320508075688787E-3</v>
      </c>
      <c r="F72" s="3" t="s">
        <v>8</v>
      </c>
      <c r="G72" s="21">
        <f>AVERAGE(G22,G41,G60)</f>
        <v>0.91933333333333334</v>
      </c>
      <c r="H72" s="6">
        <f>STDEV(G22,G41,G60)</f>
        <v>2.0816659994661348E-3</v>
      </c>
      <c r="K72" s="27"/>
      <c r="L72" s="31">
        <f>L71*60</f>
        <v>45.28</v>
      </c>
      <c r="M72" s="27" t="s">
        <v>59</v>
      </c>
      <c r="S72" s="3" t="s">
        <v>8</v>
      </c>
      <c r="T72" s="21">
        <f>AVERAGE(X13,X32,X51)</f>
        <v>0.95766666666666656</v>
      </c>
      <c r="U72" s="6">
        <f>STDEV(X13,X32,X51)</f>
        <v>1.1547005383792527E-3</v>
      </c>
      <c r="W72" s="3" t="s">
        <v>8</v>
      </c>
      <c r="X72" s="21">
        <f>AVERAGE(X22,X41,X60)</f>
        <v>0.91233333333333333</v>
      </c>
      <c r="Y72" s="6">
        <f>STDEV(X22,X41,X60)</f>
        <v>5.7735026918962634E-4</v>
      </c>
      <c r="AB72" s="27"/>
      <c r="AC72" s="31">
        <f>AC71*60</f>
        <v>77.599999999999994</v>
      </c>
      <c r="AD72" s="27" t="s">
        <v>59</v>
      </c>
      <c r="AJ72" s="3" t="s">
        <v>8</v>
      </c>
      <c r="AK72" s="21">
        <f>AVERAGE(AO13,AO32,AO51)</f>
        <v>0.95733333333333326</v>
      </c>
      <c r="AL72" s="6">
        <f>STDEV(AO13,AO32,AO51)</f>
        <v>1.5275252316519481E-3</v>
      </c>
      <c r="AN72" s="3" t="s">
        <v>8</v>
      </c>
      <c r="AO72" s="21">
        <f>AVERAGE(AO22,AO41,AO60)</f>
        <v>0.91066666666666674</v>
      </c>
      <c r="AP72" s="6">
        <f>STDEV(AO22,AO41,AO60)</f>
        <v>2.0816659994661348E-3</v>
      </c>
      <c r="AS72" s="27"/>
      <c r="AT72" s="31">
        <f>AT71*60</f>
        <v>112.36</v>
      </c>
      <c r="AU72" s="27" t="s">
        <v>59</v>
      </c>
      <c r="BA72" s="3" t="s">
        <v>8</v>
      </c>
      <c r="BB72" s="21">
        <f>AVERAGE(BF13,BF32,BF51)</f>
        <v>0.95566666666666666</v>
      </c>
      <c r="BC72" s="6">
        <f>STDEV(BF13,BF32,BF51)</f>
        <v>1.1547005383792527E-3</v>
      </c>
      <c r="BE72" s="3" t="s">
        <v>8</v>
      </c>
      <c r="BF72" s="21">
        <f>AVERAGE(BF22,BF41,BF60)</f>
        <v>0.90733333333333333</v>
      </c>
      <c r="BG72" s="6">
        <f>STDEV(BF22,BF41,BF60)</f>
        <v>3.0550504633038958E-3</v>
      </c>
      <c r="BJ72" s="27"/>
      <c r="BK72" s="31">
        <f>BK71*60</f>
        <v>151.95999999999998</v>
      </c>
      <c r="BL72" s="27" t="s">
        <v>59</v>
      </c>
    </row>
    <row r="73" spans="2:64">
      <c r="B73" s="3" t="s">
        <v>9</v>
      </c>
      <c r="C73" s="6">
        <f>AVERAGE(H13,H32,H51)</f>
        <v>0.82966666666666666</v>
      </c>
      <c r="D73" s="6">
        <f>STDEV(H13,H32,H51)</f>
        <v>3.0550504633038958E-3</v>
      </c>
      <c r="F73" s="3" t="s">
        <v>9</v>
      </c>
      <c r="G73" s="6">
        <f>AVERAGE(H22,H41,H60)</f>
        <v>0.54466666666666663</v>
      </c>
      <c r="H73" s="6">
        <f>STDEV(H22,H41,H60)</f>
        <v>1.5275252316519481E-3</v>
      </c>
      <c r="S73" s="3" t="s">
        <v>9</v>
      </c>
      <c r="T73" s="6">
        <f>AVERAGE(Y13,Y32,Y51)</f>
        <v>0.83266666666666656</v>
      </c>
      <c r="U73" s="6">
        <f>STDEV(Y13,Y32,Y51)</f>
        <v>1.1547005383792527E-3</v>
      </c>
      <c r="W73" s="3" t="s">
        <v>9</v>
      </c>
      <c r="X73" s="6">
        <f>AVERAGE(Y22,Y41,Y60)</f>
        <v>0.54</v>
      </c>
      <c r="Y73" s="6">
        <f>STDEV(Y22,Y41,Y60)</f>
        <v>2.6457513110645929E-3</v>
      </c>
      <c r="AJ73" s="3" t="s">
        <v>9</v>
      </c>
      <c r="AK73" s="6">
        <f>AVERAGE(AP13,AP32,AP51)</f>
        <v>0.83</v>
      </c>
      <c r="AL73" s="6">
        <f>STDEV(AP13,AP32,AP51)</f>
        <v>2.0000000000000018E-3</v>
      </c>
      <c r="AN73" s="3" t="s">
        <v>9</v>
      </c>
      <c r="AO73" s="6">
        <f>AVERAGE(AP22,AP41,AP60)</f>
        <v>0.53600000000000003</v>
      </c>
      <c r="AP73" s="6">
        <f>STDEV(AP22,AP41,AP60)</f>
        <v>1.0000000000000009E-3</v>
      </c>
      <c r="BA73" s="3" t="s">
        <v>9</v>
      </c>
      <c r="BB73" s="6">
        <f>AVERAGE(BG13,BG32,BG51)</f>
        <v>0.82799999999999996</v>
      </c>
      <c r="BC73" s="6">
        <f>STDEV(BG13,BG32,BG51)</f>
        <v>1.0000000000000009E-3</v>
      </c>
      <c r="BE73" s="3" t="s">
        <v>9</v>
      </c>
      <c r="BF73" s="6">
        <f>AVERAGE(BG22,BG41,BG60)</f>
        <v>0.53033333333333343</v>
      </c>
      <c r="BG73" s="6">
        <f>STDEV(BG22,BG41,BG60)</f>
        <v>1.5275252316519479E-3</v>
      </c>
    </row>
    <row r="74" spans="2:64">
      <c r="B74" s="3" t="s">
        <v>10</v>
      </c>
      <c r="C74" s="6">
        <f>AVERAGE(I13,I32,I51)</f>
        <v>0.90698134711378309</v>
      </c>
      <c r="D74" s="6">
        <f>STDEV(I13,I32,I51)</f>
        <v>1.2978874727897346E-3</v>
      </c>
      <c r="F74" s="3" t="s">
        <v>10</v>
      </c>
      <c r="G74" s="6">
        <f>AVERAGE(I22,I41,I60)</f>
        <v>0.87464562981202176</v>
      </c>
      <c r="H74" s="6">
        <f>STDEV(I22,I41,I60)</f>
        <v>2.0549014995709636E-3</v>
      </c>
      <c r="S74" s="3" t="s">
        <v>10</v>
      </c>
      <c r="T74" s="6">
        <f>AVERAGE(Z13,Z32,Z51)</f>
        <v>0.90948158328663453</v>
      </c>
      <c r="U74" s="6">
        <f>STDEV(Z13,Z32,Z51)</f>
        <v>5.0059163889779208E-4</v>
      </c>
      <c r="W74" s="3" t="s">
        <v>10</v>
      </c>
      <c r="X74" s="6">
        <f>AVERAGE(Z22,Z41,Z60)</f>
        <v>0.87378018256475398</v>
      </c>
      <c r="Y74" s="6">
        <f>STDEV(Z22,Z41,Z60)</f>
        <v>2.0426018568223949E-3</v>
      </c>
      <c r="AJ74" s="3" t="s">
        <v>10</v>
      </c>
      <c r="AK74" s="6">
        <f>AVERAGE(AQ13,AQ32,AQ51)</f>
        <v>0.90793505660623641</v>
      </c>
      <c r="AL74" s="6">
        <f>STDEV(AQ13,AQ32,AQ51)</f>
        <v>2.2063424585798638E-3</v>
      </c>
      <c r="AN74" s="3" t="s">
        <v>10</v>
      </c>
      <c r="AO74" s="6">
        <f>AVERAGE(AQ22,AQ41,AQ60)</f>
        <v>0.87276315541334648</v>
      </c>
      <c r="AP74" s="6">
        <f>STDEV(AQ22,AQ41,AQ60)</f>
        <v>2.0766956571000679E-3</v>
      </c>
      <c r="BA74" s="3" t="s">
        <v>10</v>
      </c>
      <c r="BB74" s="6">
        <f>AVERAGE(BH13,BH32,BH51)</f>
        <v>0.90873719277704001</v>
      </c>
      <c r="BC74" s="6">
        <f>STDEV(BH13,BH32,BH51)</f>
        <v>1.4009565892745574E-3</v>
      </c>
      <c r="BE74" s="3" t="s">
        <v>10</v>
      </c>
      <c r="BF74" s="6">
        <f>AVERAGE(BH22,BH41,BH60)</f>
        <v>0.87158012289741238</v>
      </c>
      <c r="BG74" s="6">
        <f>STDEV(BH22,BH41,BH60)</f>
        <v>1.5488124133210561E-3</v>
      </c>
    </row>
    <row r="75" spans="2:64">
      <c r="C75" s="2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Section_3.1</vt:lpstr>
      <vt:lpstr>Section_3.2</vt:lpstr>
      <vt:lpstr>Section_3.3</vt:lpstr>
      <vt:lpstr>Section_3.4</vt:lpstr>
      <vt:lpstr>Section_3.5-Detect-Sizes</vt:lpstr>
      <vt:lpstr>Section_3.5-Seg-Sizes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Chong Jun Wei Roy</dc:creator>
  <cp:lastModifiedBy>Roy Wei</cp:lastModifiedBy>
  <dcterms:created xsi:type="dcterms:W3CDTF">2025-11-03T09:42:10Z</dcterms:created>
  <dcterms:modified xsi:type="dcterms:W3CDTF">2026-04-01T02:43:13Z</dcterms:modified>
</cp:coreProperties>
</file>